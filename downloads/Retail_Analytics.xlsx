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1\Documents\ChatGPT\HH Рафиф\portfolio\excel\"/>
    </mc:Choice>
  </mc:AlternateContent>
  <xr:revisionPtr revIDLastSave="0" documentId="13_ncr:1_{C24CFBAA-9EA5-4FB6-87E3-40E13DE1BE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родажи" sheetId="1" r:id="rId1"/>
    <sheet name="Когорты" sheetId="2" r:id="rId2"/>
    <sheet name="Данные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2" l="1"/>
  <c r="J36" i="2"/>
  <c r="J35" i="2"/>
  <c r="K34" i="2"/>
  <c r="J34" i="2"/>
  <c r="J33" i="2"/>
  <c r="J32" i="2"/>
  <c r="J31" i="2"/>
  <c r="J30" i="2"/>
  <c r="J29" i="2"/>
  <c r="J28" i="2"/>
  <c r="H20" i="2"/>
  <c r="G20" i="2"/>
  <c r="F20" i="2"/>
  <c r="E20" i="2"/>
  <c r="D20" i="2"/>
  <c r="B20" i="2"/>
  <c r="C20" i="2" s="1"/>
  <c r="H19" i="2"/>
  <c r="G19" i="2"/>
  <c r="F19" i="2"/>
  <c r="E19" i="2"/>
  <c r="B19" i="2"/>
  <c r="H18" i="2"/>
  <c r="G18" i="2"/>
  <c r="F18" i="2"/>
  <c r="C18" i="2"/>
  <c r="B18" i="2"/>
  <c r="H17" i="2"/>
  <c r="G17" i="2"/>
  <c r="B17" i="2"/>
  <c r="H16" i="2"/>
  <c r="D16" i="2"/>
  <c r="C16" i="2"/>
  <c r="B16" i="2"/>
  <c r="B15" i="2"/>
  <c r="C14" i="2"/>
  <c r="B14" i="2"/>
  <c r="H13" i="2"/>
  <c r="G13" i="2"/>
  <c r="B13" i="2"/>
  <c r="B12" i="2"/>
  <c r="B11" i="2"/>
  <c r="H10" i="2"/>
  <c r="G10" i="2"/>
  <c r="F10" i="2"/>
  <c r="B10" i="2"/>
  <c r="B9" i="2"/>
  <c r="I38" i="1"/>
  <c r="I37" i="1"/>
  <c r="I36" i="1"/>
  <c r="I35" i="1"/>
  <c r="I34" i="1"/>
  <c r="I33" i="1"/>
  <c r="I32" i="1"/>
  <c r="I31" i="1"/>
  <c r="I30" i="1"/>
  <c r="I29" i="1"/>
  <c r="I28" i="1"/>
  <c r="E22" i="1"/>
  <c r="C22" i="1"/>
  <c r="B22" i="1"/>
  <c r="E21" i="1"/>
  <c r="C21" i="1"/>
  <c r="B21" i="1"/>
  <c r="E20" i="1"/>
  <c r="C20" i="1"/>
  <c r="B20" i="1"/>
  <c r="E19" i="1"/>
  <c r="C19" i="1"/>
  <c r="B19" i="1"/>
  <c r="E18" i="1"/>
  <c r="C18" i="1"/>
  <c r="B18" i="1"/>
  <c r="E17" i="1"/>
  <c r="C17" i="1"/>
  <c r="B17" i="1"/>
  <c r="E16" i="1"/>
  <c r="C16" i="1"/>
  <c r="B16" i="1"/>
  <c r="E15" i="1"/>
  <c r="C15" i="1"/>
  <c r="B15" i="1"/>
  <c r="E14" i="1"/>
  <c r="C14" i="1"/>
  <c r="B14" i="1"/>
  <c r="E13" i="1"/>
  <c r="C13" i="1"/>
  <c r="B13" i="1"/>
  <c r="G12" i="1"/>
  <c r="E12" i="1"/>
  <c r="E24" i="1" s="1"/>
  <c r="D8" i="1" s="1"/>
  <c r="C12" i="1"/>
  <c r="B12" i="1"/>
  <c r="C24" i="1" l="1"/>
  <c r="D19" i="2"/>
  <c r="K37" i="2" s="1"/>
  <c r="C19" i="2"/>
  <c r="D18" i="2"/>
  <c r="K36" i="2" s="1"/>
  <c r="E18" i="2"/>
  <c r="F17" i="2"/>
  <c r="E17" i="2"/>
  <c r="D17" i="2"/>
  <c r="K35" i="2" s="1"/>
  <c r="C17" i="2"/>
  <c r="F16" i="2"/>
  <c r="E16" i="2"/>
  <c r="G16" i="2"/>
  <c r="F15" i="2"/>
  <c r="C15" i="2"/>
  <c r="G15" i="2"/>
  <c r="D15" i="2"/>
  <c r="K33" i="2" s="1"/>
  <c r="H15" i="2"/>
  <c r="E15" i="2"/>
  <c r="G14" i="2"/>
  <c r="D14" i="2"/>
  <c r="K32" i="2" s="1"/>
  <c r="H14" i="2"/>
  <c r="E14" i="2"/>
  <c r="F14" i="2"/>
  <c r="F13" i="2"/>
  <c r="E13" i="2"/>
  <c r="D13" i="2"/>
  <c r="K31" i="2" s="1"/>
  <c r="C13" i="2"/>
  <c r="F12" i="2"/>
  <c r="E12" i="2"/>
  <c r="D12" i="2"/>
  <c r="K30" i="2" s="1"/>
  <c r="C12" i="2"/>
  <c r="H12" i="2"/>
  <c r="G12" i="2"/>
  <c r="D11" i="2"/>
  <c r="K29" i="2" s="1"/>
  <c r="E11" i="2"/>
  <c r="G11" i="2"/>
  <c r="C11" i="2"/>
  <c r="H11" i="2"/>
  <c r="F11" i="2"/>
  <c r="E10" i="2"/>
  <c r="D10" i="2"/>
  <c r="C10" i="2"/>
  <c r="H9" i="2"/>
  <c r="G9" i="2"/>
  <c r="F9" i="2"/>
  <c r="E9" i="2"/>
  <c r="D9" i="2"/>
  <c r="C9" i="2"/>
  <c r="F22" i="1"/>
  <c r="D22" i="1"/>
  <c r="J38" i="1" s="1"/>
  <c r="D21" i="1"/>
  <c r="F21" i="1"/>
  <c r="D20" i="1"/>
  <c r="F20" i="1"/>
  <c r="F19" i="1"/>
  <c r="D19" i="1"/>
  <c r="F18" i="1"/>
  <c r="D18" i="1"/>
  <c r="F17" i="1"/>
  <c r="D17" i="1"/>
  <c r="D16" i="1"/>
  <c r="F16" i="1"/>
  <c r="F15" i="1"/>
  <c r="D15" i="1"/>
  <c r="D14" i="1"/>
  <c r="F14" i="1"/>
  <c r="F13" i="1"/>
  <c r="D13" i="1"/>
  <c r="B24" i="1"/>
  <c r="F24" i="1" s="1"/>
  <c r="F8" i="1" s="1"/>
  <c r="F12" i="1"/>
  <c r="D12" i="1"/>
  <c r="K28" i="2" l="1"/>
  <c r="D5" i="2"/>
  <c r="G22" i="1"/>
  <c r="J37" i="1"/>
  <c r="G21" i="1"/>
  <c r="J36" i="1"/>
  <c r="G20" i="1"/>
  <c r="J35" i="1"/>
  <c r="J34" i="1"/>
  <c r="G19" i="1"/>
  <c r="G18" i="1"/>
  <c r="J33" i="1"/>
  <c r="J32" i="1"/>
  <c r="G17" i="1"/>
  <c r="G16" i="1"/>
  <c r="J31" i="1"/>
  <c r="G15" i="1"/>
  <c r="J30" i="1"/>
  <c r="G14" i="1"/>
  <c r="J29" i="1"/>
  <c r="G13" i="1"/>
  <c r="D24" i="1"/>
  <c r="A8" i="1" s="1"/>
  <c r="J28" i="1"/>
</calcChain>
</file>

<file path=xl/sharedStrings.xml><?xml version="1.0" encoding="utf-8"?>
<sst xmlns="http://schemas.openxmlformats.org/spreadsheetml/2006/main" count="354" uniqueCount="73">
  <si>
    <t>Продажи и отмены</t>
  </si>
  <si>
    <t>Январь-ноябрь 2011. Денежные показатели в GBP.</t>
  </si>
  <si>
    <t>Страна</t>
  </si>
  <si>
    <t>Все страны</t>
  </si>
  <si>
    <t>Меняйте страну в B5: таблица и диаграмма пересчитываются.</t>
  </si>
  <si>
    <t>Оборот после отмен</t>
  </si>
  <si>
    <t>Заказы с продажами</t>
  </si>
  <si>
    <t>Отмены / продажи</t>
  </si>
  <si>
    <t>Месяц</t>
  </si>
  <si>
    <t>Продажи, GBP</t>
  </si>
  <si>
    <t>Отмены, GBP</t>
  </si>
  <si>
    <t>Оборот, GBP</t>
  </si>
  <si>
    <t>Заказы</t>
  </si>
  <si>
    <t>Оборот к пред. мес.</t>
  </si>
  <si>
    <t>Итого</t>
  </si>
  <si>
    <t>Оборот = продажи минус отмены. Отношение сумм отмен и продаж не равно доле возвращённых заказов.</t>
  </si>
  <si>
    <t>Декабрь 2011 исключён как неполный. Оборот не равен прибыли: затраты отсутствуют в источнике.</t>
  </si>
  <si>
    <t>Повторные покупки по когортам</t>
  </si>
  <si>
    <t>Первая наблюдаемая покупка. Все страны. Только известные CustomerID.</t>
  </si>
  <si>
    <t>Возврат к покупке в M1</t>
  </si>
  <si>
    <t>Взвешенно: январь-октябрь 2011</t>
  </si>
  <si>
    <t>Когорта</t>
  </si>
  <si>
    <t>Клиентов</t>
  </si>
  <si>
    <t>M0 = месяц первой наблюдаемой покупки. M1 = следующий календарный месяц.</t>
  </si>
  <si>
    <t>Пустые ячейки: окно наблюдения не завершено. Это не нулевое удержание.</t>
  </si>
  <si>
    <t>Пропуски CustomerID исключены только из когорт; суммы продаж учитывают такие операции.</t>
  </si>
  <si>
    <t>Повторная покупка M1</t>
  </si>
  <si>
    <t>Подготовленные данные из SQL-расчётов</t>
  </si>
  <si>
    <t>Источник: Chen, D. (2015), UCI Online Retail, DOI 10.24432/C5BW33, CC BY 4.0.</t>
  </si>
  <si>
    <t>Агрегаты очищенных операций. Исходный XLSX и SQL входят в комплект.</t>
  </si>
  <si>
    <t>https://archive.ics.uci.edu/dataset/352/online%2Bretail</t>
  </si>
  <si>
    <t>Продажи за январь-ноябрь 2011. Отмены: отрицательное количество, положительная цена.</t>
  </si>
  <si>
    <t>Оборот SQL, GBP</t>
  </si>
  <si>
    <t>Возраст, мес.</t>
  </si>
  <si>
    <t>Активных</t>
  </si>
  <si>
    <t>Выбор страны</t>
  </si>
  <si>
    <t>Australia</t>
  </si>
  <si>
    <t>Bahrain</t>
  </si>
  <si>
    <t>Belgium</t>
  </si>
  <si>
    <t>Austria</t>
  </si>
  <si>
    <t>Channel Islands</t>
  </si>
  <si>
    <t>Cyprus</t>
  </si>
  <si>
    <t>EIRE</t>
  </si>
  <si>
    <t>Brazil</t>
  </si>
  <si>
    <t>Finland</t>
  </si>
  <si>
    <t>Canada</t>
  </si>
  <si>
    <t>France</t>
  </si>
  <si>
    <t>Germany</t>
  </si>
  <si>
    <t>Greece</t>
  </si>
  <si>
    <t>Czech Republic</t>
  </si>
  <si>
    <t>Hong Kong</t>
  </si>
  <si>
    <t>Denmark</t>
  </si>
  <si>
    <t>Iceland</t>
  </si>
  <si>
    <t>Israel</t>
  </si>
  <si>
    <t>European Community</t>
  </si>
  <si>
    <t>Italy</t>
  </si>
  <si>
    <t>Japan</t>
  </si>
  <si>
    <t>Lebanon</t>
  </si>
  <si>
    <t>Netherlands</t>
  </si>
  <si>
    <t>Poland</t>
  </si>
  <si>
    <t>Portugal</t>
  </si>
  <si>
    <t>Singapore</t>
  </si>
  <si>
    <t>Spain</t>
  </si>
  <si>
    <t>Sweden</t>
  </si>
  <si>
    <t>Switzerland</t>
  </si>
  <si>
    <t>United Kingdom</t>
  </si>
  <si>
    <t>Malta</t>
  </si>
  <si>
    <t>Norway</t>
  </si>
  <si>
    <t>RSA</t>
  </si>
  <si>
    <t>Saudi Arabia</t>
  </si>
  <si>
    <t>USA</t>
  </si>
  <si>
    <t>United Arab Emirates</t>
  </si>
  <si>
    <t>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</si>
</sst>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yyyy"/>
    <numFmt numFmtId="165" formatCode="&quot;£&quot;#,##0"/>
    <numFmt numFmtId="166" formatCode="0.0%"/>
    <numFmt numFmtId="167" formatCode="&quot;M&quot;0"/>
  </numFmts>
  <fonts count="7">
    <font>
      <sz val="11"/>
      <name val="Carlito"/>
    </font>
    <font>
      <sz val="11"/>
      <color rgb="FF223449"/>
      <name val="Arial"/>
    </font>
    <font>
      <b/>
      <sz val="16"/>
      <color rgb="FF223449"/>
      <name val="Arial"/>
    </font>
    <font>
      <b/>
      <sz val="11"/>
      <color rgb="FFFFFFFF"/>
      <name val="Arial"/>
    </font>
    <font>
      <i/>
      <sz val="10"/>
      <color rgb="FF596579"/>
      <name val="Arial"/>
    </font>
    <font>
      <b/>
      <sz val="11"/>
      <color rgb="FF223449"/>
      <name val="Arial"/>
    </font>
    <font>
      <sz val="10"/>
      <color rgb="FF596579"/>
      <name val="Arial"/>
    </font>
  </fonts>
  <fills count="4">
    <fill>
      <patternFill patternType="none"/>
    </fill>
    <fill>
      <patternFill patternType="gray125"/>
    </fill>
    <fill>
      <patternFill patternType="solid">
        <fgColor rgb="FF29578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 style="thin">
        <color rgb="FF295788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5" fillId="0" borderId="1" xfId="0" applyFont="1" applyBorder="1" applyAlignment="1">
      <alignment vertical="center"/>
    </xf>
    <xf numFmtId="4" fontId="5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167" fontId="3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ru-RU" sz="1125">
                <a:latin typeface="Arial"/>
                <a:ea typeface="Arial"/>
                <a:cs typeface="Arial"/>
              </a:rPr>
              <a:t>Оборот после отмен, </a:t>
            </a:r>
            <a:r>
              <a:rPr lang="en-US" sz="1125">
                <a:latin typeface="Arial"/>
                <a:ea typeface="Arial"/>
                <a:cs typeface="Arial"/>
              </a:rPr>
              <a:t>GBP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Оборот, GBP</c:v>
          </c:tx>
          <c:spPr>
            <a:ln w="19050">
              <a:solidFill>
                <a:srgbClr val="295788"/>
              </a:solidFill>
              <a:prstDash val="solid"/>
            </a:ln>
          </c:spPr>
          <c:marker>
            <c:symbol val="none"/>
          </c:marker>
          <c:cat>
            <c:strRef>
              <c:f>Продажи!$I$28:$I$38</c:f>
              <c:strCache>
                <c:ptCount val="11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</c:strCache>
            </c:strRef>
          </c:cat>
          <c:val>
            <c:numRef>
              <c:f>Продажи!$J$28:$J$38</c:f>
              <c:numCache>
                <c:formatCode>General</c:formatCode>
                <c:ptCount val="11"/>
                <c:pt idx="0">
                  <c:v>560000.26</c:v>
                </c:pt>
                <c:pt idx="1">
                  <c:v>498062.65</c:v>
                </c:pt>
                <c:pt idx="2">
                  <c:v>683267.08</c:v>
                </c:pt>
                <c:pt idx="3">
                  <c:v>493207.12</c:v>
                </c:pt>
                <c:pt idx="4">
                  <c:v>723333.51</c:v>
                </c:pt>
                <c:pt idx="5">
                  <c:v>691123.12000000011</c:v>
                </c:pt>
                <c:pt idx="6">
                  <c:v>681300.1100000001</c:v>
                </c:pt>
                <c:pt idx="7">
                  <c:v>704804.63</c:v>
                </c:pt>
                <c:pt idx="8">
                  <c:v>1019687.6200000001</c:v>
                </c:pt>
                <c:pt idx="9">
                  <c:v>1070704.67</c:v>
                </c:pt>
                <c:pt idx="10">
                  <c:v>1461756.25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80-437C-B0F1-86D41C612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ru-RU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ru-RU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ru-RU" sz="1125">
                <a:latin typeface="Arial"/>
                <a:ea typeface="Arial"/>
                <a:cs typeface="Arial"/>
              </a:rPr>
              <a:t>Повторная покупка в </a:t>
            </a:r>
            <a:r>
              <a:rPr lang="en-US" sz="1125">
                <a:latin typeface="Arial"/>
                <a:ea typeface="Arial"/>
                <a:cs typeface="Arial"/>
              </a:rPr>
              <a:t>M1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Повторная покупка M1</c:v>
          </c:tx>
          <c:spPr>
            <a:ln w="19050">
              <a:solidFill>
                <a:srgbClr val="295788"/>
              </a:solidFill>
              <a:prstDash val="solid"/>
            </a:ln>
          </c:spPr>
          <c:marker>
            <c:symbol val="none"/>
          </c:marker>
          <c:cat>
            <c:strRef>
              <c:f>Когорты!$J$28:$J$37</c:f>
              <c:strCache>
                <c:ptCount val="10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</c:strCache>
            </c:strRef>
          </c:cat>
          <c:val>
            <c:numRef>
              <c:f>Когорты!$K$28:$K$37</c:f>
              <c:numCache>
                <c:formatCode>General</c:formatCode>
                <c:ptCount val="10"/>
                <c:pt idx="0">
                  <c:v>0.22062350119904076</c:v>
                </c:pt>
                <c:pt idx="1">
                  <c:v>0.18684210526315789</c:v>
                </c:pt>
                <c:pt idx="2">
                  <c:v>0.15044247787610621</c:v>
                </c:pt>
                <c:pt idx="3">
                  <c:v>0.21333333333333335</c:v>
                </c:pt>
                <c:pt idx="4">
                  <c:v>0.19014084507042253</c:v>
                </c:pt>
                <c:pt idx="5">
                  <c:v>0.17355371900826447</c:v>
                </c:pt>
                <c:pt idx="6">
                  <c:v>0.18085106382978725</c:v>
                </c:pt>
                <c:pt idx="7">
                  <c:v>0.20710059171597633</c:v>
                </c:pt>
                <c:pt idx="8">
                  <c:v>0.23411371237458195</c:v>
                </c:pt>
                <c:pt idx="9">
                  <c:v>0.24022346368715083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BC-4EFD-8D26-9B1480B6B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ru-RU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ru-RU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untryMonthInputs" displayName="CountryMonthInputs" ref="A6:F275" totalsRowShown="0">
  <tableColumns count="6">
    <tableColumn id="1" xr3:uid="{00000000-0010-0000-0000-000001000000}" name="Месяц"/>
    <tableColumn id="2" xr3:uid="{00000000-0010-0000-0000-000002000000}" name="Страна"/>
    <tableColumn id="3" xr3:uid="{00000000-0010-0000-0000-000003000000}" name="Заказы"/>
    <tableColumn id="4" xr3:uid="{00000000-0010-0000-0000-000004000000}" name="Продажи, GBP"/>
    <tableColumn id="5" xr3:uid="{00000000-0010-0000-0000-000005000000}" name="Отмены, GBP"/>
    <tableColumn id="6" xr3:uid="{00000000-0010-0000-0000-000006000000}" name="Оборот SQL, GB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hortInputs" displayName="CohortInputs" ref="I6:L78" totalsRowShown="0">
  <tableColumns count="4">
    <tableColumn id="1" xr3:uid="{00000000-0010-0000-0100-000001000000}" name="Когорта"/>
    <tableColumn id="2" xr3:uid="{00000000-0010-0000-0100-000002000000}" name="Возраст, мес."/>
    <tableColumn id="3" xr3:uid="{00000000-0010-0000-0100-000003000000}" name="Клиентов"/>
    <tableColumn id="4" xr3:uid="{00000000-0010-0000-0100-000004000000}" name="Активны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95788"/>
  </sheetPr>
  <dimension ref="A1:O38"/>
  <sheetViews>
    <sheetView tabSelected="1" workbookViewId="0">
      <selection activeCell="B12" sqref="B12"/>
    </sheetView>
  </sheetViews>
  <sheetFormatPr defaultRowHeight="14.25"/>
  <cols>
    <col min="1" max="1" width="15" customWidth="1"/>
    <col min="2" max="4" width="17" customWidth="1"/>
    <col min="5" max="5" width="13" customWidth="1"/>
    <col min="6" max="7" width="16" customWidth="1"/>
    <col min="8" max="8" width="3" customWidth="1"/>
    <col min="9" max="15" width="9" customWidth="1"/>
  </cols>
  <sheetData>
    <row r="1" spans="1:15" ht="21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0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1.95" customHeight="1">
      <c r="A3" s="7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1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1.95" customHeight="1">
      <c r="A5" s="1" t="s">
        <v>2</v>
      </c>
      <c r="B5" s="8" t="s">
        <v>3</v>
      </c>
      <c r="C5" s="1"/>
      <c r="D5" s="7" t="s">
        <v>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1.9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21.95" customHeight="1">
      <c r="A7" s="1" t="s">
        <v>5</v>
      </c>
      <c r="B7" s="1"/>
      <c r="C7" s="1"/>
      <c r="D7" s="1" t="s">
        <v>6</v>
      </c>
      <c r="E7" s="1"/>
      <c r="F7" s="1" t="s">
        <v>7</v>
      </c>
      <c r="G7" s="1"/>
      <c r="H7" s="1"/>
      <c r="I7" s="1"/>
      <c r="J7" s="1"/>
      <c r="K7" s="1"/>
      <c r="L7" s="1"/>
      <c r="M7" s="1"/>
      <c r="N7" s="1"/>
      <c r="O7" s="1"/>
    </row>
    <row r="8" spans="1:15" ht="21.95" customHeight="1">
      <c r="A8" s="9">
        <f>D24</f>
        <v>8587247.0199999996</v>
      </c>
      <c r="B8" s="2"/>
      <c r="C8" s="2"/>
      <c r="D8" s="10">
        <f>E24</f>
        <v>17582</v>
      </c>
      <c r="E8" s="2"/>
      <c r="F8" s="11">
        <f>F24</f>
        <v>6.7024004048471308E-2</v>
      </c>
      <c r="G8" s="2"/>
      <c r="H8" s="1"/>
      <c r="I8" s="1"/>
      <c r="J8" s="1"/>
      <c r="K8" s="1"/>
      <c r="L8" s="1"/>
      <c r="M8" s="1"/>
      <c r="N8" s="1"/>
      <c r="O8" s="1"/>
    </row>
    <row r="9" spans="1:15" ht="21.9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1.9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38.1" customHeight="1">
      <c r="A11" s="6" t="s">
        <v>8</v>
      </c>
      <c r="B11" s="6" t="s">
        <v>9</v>
      </c>
      <c r="C11" s="6" t="s">
        <v>10</v>
      </c>
      <c r="D11" s="6" t="s">
        <v>11</v>
      </c>
      <c r="E11" s="6" t="s">
        <v>12</v>
      </c>
      <c r="F11" s="6" t="s">
        <v>7</v>
      </c>
      <c r="G11" s="6" t="s">
        <v>13</v>
      </c>
      <c r="H11" s="1"/>
      <c r="I11" s="1"/>
      <c r="J11" s="1"/>
      <c r="K11" s="1"/>
      <c r="L11" s="1"/>
      <c r="M11" s="1"/>
      <c r="N11" s="1"/>
      <c r="O11" s="1"/>
    </row>
    <row r="12" spans="1:15" ht="21.95" customHeight="1">
      <c r="A12" s="3">
        <v>40544</v>
      </c>
      <c r="B12" s="5">
        <f>IF($B$5="Все страны",SUMIFS(Данные!$D$7:$D$275,Данные!$A$7:$A$275,$A12),SUMIFS(Данные!$D$7:$D$275,Данные!$A$7:$A$275,$A12,Данные!$B$7:$B$275,$B$5))</f>
        <v>691364.55999999994</v>
      </c>
      <c r="C12" s="5">
        <f>IF($B$5="Все страны",SUMIFS(Данные!$E$7:$E$275,Данные!$A$7:$A$275,$A12),SUMIFS(Данные!$E$7:$E$275,Данные!$A$7:$A$275,$A12,Данные!$B$7:$B$275,$B$5))</f>
        <v>131364.29999999999</v>
      </c>
      <c r="D12" s="5">
        <f t="shared" ref="D12:D22" si="0">B12-C12</f>
        <v>560000.26</v>
      </c>
      <c r="E12" s="4">
        <f>IF($B$5="Все страны",SUMIFS(Данные!$C$7:$C$275,Данные!$A$7:$A$275,$A12),SUMIFS(Данные!$C$7:$C$275,Данные!$A$7:$A$275,$A12,Данные!$B$7:$B$275,$B$5))</f>
        <v>1086</v>
      </c>
      <c r="F12" s="12">
        <f t="shared" ref="F12:F22" si="1">IF(B12=0,"",C12/B12)</f>
        <v>0.19000728067403397</v>
      </c>
      <c r="G12" s="12" t="str">
        <f>""</f>
        <v/>
      </c>
      <c r="H12" s="1"/>
      <c r="I12" s="1"/>
      <c r="J12" s="1"/>
      <c r="K12" s="1"/>
      <c r="L12" s="1"/>
      <c r="M12" s="1"/>
      <c r="N12" s="1"/>
      <c r="O12" s="1"/>
    </row>
    <row r="13" spans="1:15" ht="21.95" customHeight="1">
      <c r="A13" s="3">
        <v>40575</v>
      </c>
      <c r="B13" s="5">
        <f>IF($B$5="Все страны",SUMIFS(Данные!$D$7:$D$275,Данные!$A$7:$A$275,$A13),SUMIFS(Данные!$D$7:$D$275,Данные!$A$7:$A$275,$A13,Данные!$B$7:$B$275,$B$5))</f>
        <v>523631.89</v>
      </c>
      <c r="C13" s="5">
        <f>IF($B$5="Все страны",SUMIFS(Данные!$E$7:$E$275,Данные!$A$7:$A$275,$A13),SUMIFS(Данные!$E$7:$E$275,Данные!$A$7:$A$275,$A13,Данные!$B$7:$B$275,$B$5))</f>
        <v>25569.24</v>
      </c>
      <c r="D13" s="5">
        <f t="shared" si="0"/>
        <v>498062.65</v>
      </c>
      <c r="E13" s="4">
        <f>IF($B$5="Все страны",SUMIFS(Данные!$C$7:$C$275,Данные!$A$7:$A$275,$A13),SUMIFS(Данные!$C$7:$C$275,Данные!$A$7:$A$275,$A13,Данные!$B$7:$B$275,$B$5))</f>
        <v>1100</v>
      </c>
      <c r="F13" s="12">
        <f t="shared" si="1"/>
        <v>4.8830563012501015E-2</v>
      </c>
      <c r="G13" s="12">
        <f t="shared" ref="G13:G22" si="2">IF(D12=0,"",D13/D12-1)</f>
        <v>-0.11060282364868901</v>
      </c>
      <c r="H13" s="1"/>
      <c r="I13" s="1"/>
      <c r="J13" s="1"/>
      <c r="K13" s="1"/>
      <c r="L13" s="1"/>
      <c r="M13" s="1"/>
      <c r="N13" s="1"/>
      <c r="O13" s="1"/>
    </row>
    <row r="14" spans="1:15" ht="21.95" customHeight="1">
      <c r="A14" s="3">
        <v>40603</v>
      </c>
      <c r="B14" s="5">
        <f>IF($B$5="Все страны",SUMIFS(Данные!$D$7:$D$275,Данные!$A$7:$A$275,$A14),SUMIFS(Данные!$D$7:$D$275,Данные!$A$7:$A$275,$A14,Данные!$B$7:$B$275,$B$5))</f>
        <v>717639.36</v>
      </c>
      <c r="C14" s="5">
        <f>IF($B$5="Все страны",SUMIFS(Данные!$E$7:$E$275,Данные!$A$7:$A$275,$A14),SUMIFS(Данные!$E$7:$E$275,Данные!$A$7:$A$275,$A14,Данные!$B$7:$B$275,$B$5))</f>
        <v>34372.28</v>
      </c>
      <c r="D14" s="5">
        <f t="shared" si="0"/>
        <v>683267.08</v>
      </c>
      <c r="E14" s="4">
        <f>IF($B$5="Все страны",SUMIFS(Данные!$C$7:$C$275,Данные!$A$7:$A$275,$A14),SUMIFS(Данные!$C$7:$C$275,Данные!$A$7:$A$275,$A14,Данные!$B$7:$B$275,$B$5))</f>
        <v>1454</v>
      </c>
      <c r="F14" s="12">
        <f t="shared" si="1"/>
        <v>4.7896313825373231E-2</v>
      </c>
      <c r="G14" s="12">
        <f t="shared" si="2"/>
        <v>0.37184966590046442</v>
      </c>
      <c r="H14" s="1"/>
      <c r="I14" s="1"/>
      <c r="J14" s="1"/>
      <c r="K14" s="1"/>
      <c r="L14" s="1"/>
      <c r="M14" s="1"/>
      <c r="N14" s="1"/>
      <c r="O14" s="1"/>
    </row>
    <row r="15" spans="1:15" ht="21.95" customHeight="1">
      <c r="A15" s="3">
        <v>40634</v>
      </c>
      <c r="B15" s="5">
        <f>IF($B$5="Все страны",SUMIFS(Данные!$D$7:$D$275,Данные!$A$7:$A$275,$A15),SUMIFS(Данные!$D$7:$D$275,Данные!$A$7:$A$275,$A15,Данные!$B$7:$B$275,$B$5))</f>
        <v>537808.62</v>
      </c>
      <c r="C15" s="5">
        <f>IF($B$5="Все страны",SUMIFS(Данные!$E$7:$E$275,Данные!$A$7:$A$275,$A15),SUMIFS(Данные!$E$7:$E$275,Данные!$A$7:$A$275,$A15,Данные!$B$7:$B$275,$B$5))</f>
        <v>44601.5</v>
      </c>
      <c r="D15" s="5">
        <f t="shared" si="0"/>
        <v>493207.12</v>
      </c>
      <c r="E15" s="4">
        <f>IF($B$5="Все страны",SUMIFS(Данные!$C$7:$C$275,Данные!$A$7:$A$275,$A15),SUMIFS(Данные!$C$7:$C$275,Данные!$A$7:$A$275,$A15,Данные!$B$7:$B$275,$B$5))</f>
        <v>1246</v>
      </c>
      <c r="F15" s="12">
        <f t="shared" si="1"/>
        <v>8.2931917305453379E-2</v>
      </c>
      <c r="G15" s="12">
        <f t="shared" si="2"/>
        <v>-0.27816349647637051</v>
      </c>
      <c r="H15" s="1"/>
      <c r="I15" s="1"/>
      <c r="J15" s="1"/>
      <c r="K15" s="1"/>
      <c r="L15" s="1"/>
      <c r="M15" s="1"/>
      <c r="N15" s="1"/>
      <c r="O15" s="1"/>
    </row>
    <row r="16" spans="1:15" ht="21.95" customHeight="1">
      <c r="A16" s="3">
        <v>40664</v>
      </c>
      <c r="B16" s="5">
        <f>IF($B$5="Все страны",SUMIFS(Данные!$D$7:$D$275,Данные!$A$7:$A$275,$A16),SUMIFS(Данные!$D$7:$D$275,Данные!$A$7:$A$275,$A16,Данные!$B$7:$B$275,$B$5))</f>
        <v>770536.02</v>
      </c>
      <c r="C16" s="5">
        <f>IF($B$5="Все страны",SUMIFS(Данные!$E$7:$E$275,Данные!$A$7:$A$275,$A16),SUMIFS(Данные!$E$7:$E$275,Данные!$A$7:$A$275,$A16,Данные!$B$7:$B$275,$B$5))</f>
        <v>47202.51</v>
      </c>
      <c r="D16" s="5">
        <f t="shared" si="0"/>
        <v>723333.51</v>
      </c>
      <c r="E16" s="4">
        <f>IF($B$5="Все страны",SUMIFS(Данные!$C$7:$C$275,Данные!$A$7:$A$275,$A16),SUMIFS(Данные!$C$7:$C$275,Данные!$A$7:$A$275,$A16,Данные!$B$7:$B$275,$B$5))</f>
        <v>1681</v>
      </c>
      <c r="F16" s="12">
        <f t="shared" si="1"/>
        <v>6.1259316598852837E-2</v>
      </c>
      <c r="G16" s="12">
        <f t="shared" si="2"/>
        <v>0.46659178399533241</v>
      </c>
      <c r="H16" s="1"/>
      <c r="I16" s="1"/>
      <c r="J16" s="1"/>
      <c r="K16" s="1"/>
      <c r="L16" s="1"/>
      <c r="M16" s="1"/>
      <c r="N16" s="1"/>
      <c r="O16" s="1"/>
    </row>
    <row r="17" spans="1:15" ht="21.95" customHeight="1">
      <c r="A17" s="3">
        <v>40695</v>
      </c>
      <c r="B17" s="5">
        <f>IF($B$5="Все страны",SUMIFS(Данные!$D$7:$D$275,Данные!$A$7:$A$275,$A17),SUMIFS(Данные!$D$7:$D$275,Данные!$A$7:$A$275,$A17,Данные!$B$7:$B$275,$B$5))</f>
        <v>761739.90000000014</v>
      </c>
      <c r="C17" s="5">
        <f>IF($B$5="Все страны",SUMIFS(Данные!$E$7:$E$275,Данные!$A$7:$A$275,$A17),SUMIFS(Данные!$E$7:$E$275,Данные!$A$7:$A$275,$A17,Данные!$B$7:$B$275,$B$5))</f>
        <v>70616.78</v>
      </c>
      <c r="D17" s="5">
        <f t="shared" si="0"/>
        <v>691123.12000000011</v>
      </c>
      <c r="E17" s="4">
        <f>IF($B$5="Все страны",SUMIFS(Данные!$C$7:$C$275,Данные!$A$7:$A$275,$A17),SUMIFS(Данные!$C$7:$C$275,Данные!$A$7:$A$275,$A17,Данные!$B$7:$B$275,$B$5))</f>
        <v>1533</v>
      </c>
      <c r="F17" s="12">
        <f t="shared" si="1"/>
        <v>9.2704583283611613E-2</v>
      </c>
      <c r="G17" s="12">
        <f t="shared" si="2"/>
        <v>-4.4530482211448952E-2</v>
      </c>
      <c r="H17" s="1"/>
      <c r="I17" s="1"/>
      <c r="J17" s="1"/>
      <c r="K17" s="1"/>
      <c r="L17" s="1"/>
      <c r="M17" s="1"/>
      <c r="N17" s="1"/>
      <c r="O17" s="1"/>
    </row>
    <row r="18" spans="1:15" ht="21.95" customHeight="1">
      <c r="A18" s="3">
        <v>40725</v>
      </c>
      <c r="B18" s="5">
        <f>IF($B$5="Все страны",SUMIFS(Данные!$D$7:$D$275,Данные!$A$7:$A$275,$A18),SUMIFS(Данные!$D$7:$D$275,Данные!$A$7:$A$275,$A18,Данные!$B$7:$B$275,$B$5))</f>
        <v>719221.19000000006</v>
      </c>
      <c r="C18" s="5">
        <f>IF($B$5="Все страны",SUMIFS(Данные!$E$7:$E$275,Данные!$A$7:$A$275,$A18),SUMIFS(Данные!$E$7:$E$275,Данные!$A$7:$A$275,$A18,Данные!$B$7:$B$275,$B$5))</f>
        <v>37921.08</v>
      </c>
      <c r="D18" s="5">
        <f t="shared" si="0"/>
        <v>681300.1100000001</v>
      </c>
      <c r="E18" s="4">
        <f>IF($B$5="Все страны",SUMIFS(Данные!$C$7:$C$275,Данные!$A$7:$A$275,$A18),SUMIFS(Данные!$C$7:$C$275,Данные!$A$7:$A$275,$A18,Данные!$B$7:$B$275,$B$5))</f>
        <v>1475</v>
      </c>
      <c r="F18" s="12">
        <f t="shared" si="1"/>
        <v>5.2725198488659655E-2</v>
      </c>
      <c r="G18" s="12">
        <f t="shared" si="2"/>
        <v>-1.4213111550949176E-2</v>
      </c>
      <c r="H18" s="1"/>
      <c r="I18" s="1"/>
      <c r="J18" s="1"/>
      <c r="K18" s="1"/>
      <c r="L18" s="1"/>
      <c r="M18" s="1"/>
      <c r="N18" s="1"/>
      <c r="O18" s="1"/>
    </row>
    <row r="19" spans="1:15" ht="21.95" customHeight="1">
      <c r="A19" s="3">
        <v>40756</v>
      </c>
      <c r="B19" s="5">
        <f>IF($B$5="Все страны",SUMIFS(Данные!$D$7:$D$275,Данные!$A$7:$A$275,$A19),SUMIFS(Данные!$D$7:$D$275,Данные!$A$7:$A$275,$A19,Данные!$B$7:$B$275,$B$5))</f>
        <v>759138.38</v>
      </c>
      <c r="C19" s="5">
        <f>IF($B$5="Все страны",SUMIFS(Данные!$E$7:$E$275,Данные!$A$7:$A$275,$A19),SUMIFS(Данные!$E$7:$E$275,Данные!$A$7:$A$275,$A19,Данные!$B$7:$B$275,$B$5))</f>
        <v>54333.75</v>
      </c>
      <c r="D19" s="5">
        <f t="shared" si="0"/>
        <v>704804.63</v>
      </c>
      <c r="E19" s="4">
        <f>IF($B$5="Все страны",SUMIFS(Данные!$C$7:$C$275,Данные!$A$7:$A$275,$A19),SUMIFS(Данные!$C$7:$C$275,Данные!$A$7:$A$275,$A19,Данные!$B$7:$B$275,$B$5))</f>
        <v>1361</v>
      </c>
      <c r="F19" s="12">
        <f t="shared" si="1"/>
        <v>7.1572919287785183E-2</v>
      </c>
      <c r="G19" s="12">
        <f t="shared" si="2"/>
        <v>3.4499510061725802E-2</v>
      </c>
      <c r="H19" s="1"/>
      <c r="I19" s="1"/>
      <c r="J19" s="1"/>
      <c r="K19" s="1"/>
      <c r="L19" s="1"/>
      <c r="M19" s="1"/>
      <c r="N19" s="1"/>
      <c r="O19" s="1"/>
    </row>
    <row r="20" spans="1:15" ht="21.95" customHeight="1">
      <c r="A20" s="3">
        <v>40787</v>
      </c>
      <c r="B20" s="5">
        <f>IF($B$5="Все страны",SUMIFS(Данные!$D$7:$D$275,Данные!$A$7:$A$275,$A20),SUMIFS(Данные!$D$7:$D$275,Данные!$A$7:$A$275,$A20,Данные!$B$7:$B$275,$B$5))</f>
        <v>1058590.1700000002</v>
      </c>
      <c r="C20" s="5">
        <f>IF($B$5="Все страны",SUMIFS(Данные!$E$7:$E$275,Данные!$A$7:$A$275,$A20),SUMIFS(Данные!$E$7:$E$275,Данные!$A$7:$A$275,$A20,Данные!$B$7:$B$275,$B$5))</f>
        <v>38902.550000000003</v>
      </c>
      <c r="D20" s="5">
        <f t="shared" si="0"/>
        <v>1019687.6200000001</v>
      </c>
      <c r="E20" s="4">
        <f>IF($B$5="Все страны",SUMIFS(Данные!$C$7:$C$275,Данные!$A$7:$A$275,$A20),SUMIFS(Данные!$C$7:$C$275,Данные!$A$7:$A$275,$A20,Данные!$B$7:$B$275,$B$5))</f>
        <v>1837</v>
      </c>
      <c r="F20" s="12">
        <f t="shared" si="1"/>
        <v>3.6749396605487088E-2</v>
      </c>
      <c r="G20" s="12">
        <f t="shared" si="2"/>
        <v>0.44676634715069929</v>
      </c>
      <c r="H20" s="1"/>
      <c r="I20" s="1"/>
      <c r="J20" s="1"/>
      <c r="K20" s="1"/>
      <c r="L20" s="1"/>
      <c r="M20" s="1"/>
      <c r="N20" s="1"/>
      <c r="O20" s="1"/>
    </row>
    <row r="21" spans="1:15" ht="21.95" customHeight="1">
      <c r="A21" s="3">
        <v>40817</v>
      </c>
      <c r="B21" s="5">
        <f>IF($B$5="Все страны",SUMIFS(Данные!$D$7:$D$275,Данные!$A$7:$A$275,$A21),SUMIFS(Данные!$D$7:$D$275,Данные!$A$7:$A$275,$A21,Данные!$B$7:$B$275,$B$5))</f>
        <v>1154979.3</v>
      </c>
      <c r="C21" s="5">
        <f>IF($B$5="Все страны",SUMIFS(Данные!$E$7:$E$275,Данные!$A$7:$A$275,$A21),SUMIFS(Данные!$E$7:$E$275,Данные!$A$7:$A$275,$A21,Данные!$B$7:$B$275,$B$5))</f>
        <v>84274.63</v>
      </c>
      <c r="D21" s="5">
        <f t="shared" si="0"/>
        <v>1070704.67</v>
      </c>
      <c r="E21" s="4">
        <f>IF($B$5="Все страны",SUMIFS(Данные!$C$7:$C$275,Данные!$A$7:$A$275,$A21),SUMIFS(Данные!$C$7:$C$275,Данные!$A$7:$A$275,$A21,Данные!$B$7:$B$275,$B$5))</f>
        <v>2040</v>
      </c>
      <c r="F21" s="12">
        <f t="shared" si="1"/>
        <v>7.2966355327753488E-2</v>
      </c>
      <c r="G21" s="12">
        <f t="shared" si="2"/>
        <v>5.0032038243241317E-2</v>
      </c>
      <c r="H21" s="1"/>
      <c r="I21" s="1"/>
      <c r="J21" s="1"/>
      <c r="K21" s="1"/>
      <c r="L21" s="1"/>
      <c r="M21" s="1"/>
      <c r="N21" s="1"/>
      <c r="O21" s="1"/>
    </row>
    <row r="22" spans="1:15" ht="21.95" customHeight="1">
      <c r="A22" s="3">
        <v>40848</v>
      </c>
      <c r="B22" s="5">
        <f>IF($B$5="Все страны",SUMIFS(Данные!$D$7:$D$275,Данные!$A$7:$A$275,$A22),SUMIFS(Данные!$D$7:$D$275,Данные!$A$7:$A$275,$A22,Данные!$B$7:$B$275,$B$5))</f>
        <v>1509496.33</v>
      </c>
      <c r="C22" s="5">
        <f>IF($B$5="Все страны",SUMIFS(Данные!$E$7:$E$275,Данные!$A$7:$A$275,$A22),SUMIFS(Данные!$E$7:$E$275,Данные!$A$7:$A$275,$A22,Данные!$B$7:$B$275,$B$5))</f>
        <v>47740.08</v>
      </c>
      <c r="D22" s="5">
        <f t="shared" si="0"/>
        <v>1461756.25</v>
      </c>
      <c r="E22" s="4">
        <f>IF($B$5="Все страны",SUMIFS(Данные!$C$7:$C$275,Данные!$A$7:$A$275,$A22),SUMIFS(Данные!$C$7:$C$275,Данные!$A$7:$A$275,$A22,Данные!$B$7:$B$275,$B$5))</f>
        <v>2769</v>
      </c>
      <c r="F22" s="12">
        <f t="shared" si="1"/>
        <v>3.162649623666193E-2</v>
      </c>
      <c r="G22" s="12">
        <f t="shared" si="2"/>
        <v>0.36522823796033332</v>
      </c>
      <c r="H22" s="1"/>
      <c r="I22" s="1"/>
      <c r="J22" s="1"/>
      <c r="K22" s="1"/>
      <c r="L22" s="1"/>
      <c r="M22" s="1"/>
      <c r="N22" s="1"/>
      <c r="O22" s="1"/>
    </row>
    <row r="23" spans="1:15" ht="21.95" customHeight="1">
      <c r="A23" s="1"/>
      <c r="B23" s="5"/>
      <c r="C23" s="5"/>
      <c r="D23" s="5"/>
      <c r="E23" s="4"/>
      <c r="F23" s="12"/>
      <c r="G23" s="12"/>
      <c r="H23" s="1"/>
      <c r="I23" s="1"/>
      <c r="J23" s="1"/>
      <c r="K23" s="1"/>
      <c r="L23" s="1"/>
      <c r="M23" s="1"/>
      <c r="N23" s="1"/>
      <c r="O23" s="1"/>
    </row>
    <row r="24" spans="1:15" ht="21.95" customHeight="1">
      <c r="A24" s="13" t="s">
        <v>14</v>
      </c>
      <c r="B24" s="14">
        <f>SUM(B12:B22)</f>
        <v>9204145.7200000007</v>
      </c>
      <c r="C24" s="14">
        <f>SUM(C12:C22)</f>
        <v>616898.69999999995</v>
      </c>
      <c r="D24" s="14">
        <f>SUM(D12:D22)</f>
        <v>8587247.0199999996</v>
      </c>
      <c r="E24" s="15">
        <f>SUM(E12:E22)</f>
        <v>17582</v>
      </c>
      <c r="F24" s="16">
        <f>IF(B24=0,"",C24/B24)</f>
        <v>6.7024004048471308E-2</v>
      </c>
      <c r="G24" s="16"/>
      <c r="H24" s="1"/>
      <c r="I24" s="1"/>
      <c r="J24" s="1"/>
      <c r="K24" s="1"/>
      <c r="L24" s="1"/>
      <c r="M24" s="1"/>
      <c r="N24" s="1"/>
      <c r="O24" s="1"/>
    </row>
    <row r="25" spans="1:15" ht="21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1.95" customHeight="1">
      <c r="A26" s="17" t="s">
        <v>15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1.95" customHeight="1">
      <c r="A27" s="17" t="s">
        <v>16</v>
      </c>
      <c r="B27" s="1"/>
      <c r="C27" s="1"/>
      <c r="D27" s="1"/>
      <c r="E27" s="1"/>
      <c r="F27" s="1"/>
      <c r="G27" s="1"/>
      <c r="H27" s="1"/>
      <c r="I27" s="1" t="s">
        <v>8</v>
      </c>
      <c r="J27" s="1" t="s">
        <v>11</v>
      </c>
      <c r="K27" s="1"/>
      <c r="L27" s="1"/>
      <c r="M27" s="1"/>
      <c r="N27" s="1"/>
      <c r="O27" s="1"/>
    </row>
    <row r="28" spans="1:15" ht="21.95" customHeight="1">
      <c r="A28" s="1"/>
      <c r="B28" s="1"/>
      <c r="C28" s="1"/>
      <c r="D28" s="1"/>
      <c r="E28" s="1"/>
      <c r="F28" s="1"/>
      <c r="G28" s="1"/>
      <c r="H28" s="1"/>
      <c r="I28" s="1" t="str">
        <f t="shared" ref="I28:I38" si="3">CHOOSE(MONTH(A12),"янв","фев","мар","апр","май","июн","июл","авг","сен","окт","ноя","дек")</f>
        <v>янв</v>
      </c>
      <c r="J28" s="1">
        <f t="shared" ref="J28:J38" si="4">D12</f>
        <v>560000.26</v>
      </c>
      <c r="K28" s="1"/>
      <c r="L28" s="1"/>
      <c r="M28" s="1"/>
      <c r="N28" s="1"/>
      <c r="O28" s="1"/>
    </row>
    <row r="29" spans="1:15" ht="21.95" customHeight="1">
      <c r="A29" s="1"/>
      <c r="B29" s="1"/>
      <c r="C29" s="1"/>
      <c r="D29" s="1"/>
      <c r="E29" s="1"/>
      <c r="F29" s="1"/>
      <c r="G29" s="1"/>
      <c r="H29" s="1"/>
      <c r="I29" s="1" t="str">
        <f t="shared" si="3"/>
        <v>фев</v>
      </c>
      <c r="J29" s="1">
        <f t="shared" si="4"/>
        <v>498062.65</v>
      </c>
      <c r="K29" s="1"/>
      <c r="L29" s="1"/>
      <c r="M29" s="1"/>
      <c r="N29" s="1"/>
      <c r="O29" s="1"/>
    </row>
    <row r="30" spans="1:15">
      <c r="I30" t="str">
        <f t="shared" si="3"/>
        <v>мар</v>
      </c>
      <c r="J30">
        <f t="shared" si="4"/>
        <v>683267.08</v>
      </c>
    </row>
    <row r="31" spans="1:15">
      <c r="I31" t="str">
        <f t="shared" si="3"/>
        <v>апр</v>
      </c>
      <c r="J31">
        <f t="shared" si="4"/>
        <v>493207.12</v>
      </c>
    </row>
    <row r="32" spans="1:15">
      <c r="I32" t="str">
        <f t="shared" si="3"/>
        <v>май</v>
      </c>
      <c r="J32">
        <f t="shared" si="4"/>
        <v>723333.51</v>
      </c>
    </row>
    <row r="33" spans="9:10">
      <c r="I33" t="str">
        <f t="shared" si="3"/>
        <v>июн</v>
      </c>
      <c r="J33">
        <f t="shared" si="4"/>
        <v>691123.12000000011</v>
      </c>
    </row>
    <row r="34" spans="9:10">
      <c r="I34" t="str">
        <f t="shared" si="3"/>
        <v>июл</v>
      </c>
      <c r="J34">
        <f t="shared" si="4"/>
        <v>681300.1100000001</v>
      </c>
    </row>
    <row r="35" spans="9:10">
      <c r="I35" t="str">
        <f t="shared" si="3"/>
        <v>авг</v>
      </c>
      <c r="J35">
        <f t="shared" si="4"/>
        <v>704804.63</v>
      </c>
    </row>
    <row r="36" spans="9:10">
      <c r="I36" t="str">
        <f t="shared" si="3"/>
        <v>сен</v>
      </c>
      <c r="J36">
        <f t="shared" si="4"/>
        <v>1019687.6200000001</v>
      </c>
    </row>
    <row r="37" spans="9:10">
      <c r="I37" t="str">
        <f t="shared" si="3"/>
        <v>окт</v>
      </c>
      <c r="J37">
        <f t="shared" si="4"/>
        <v>1070704.67</v>
      </c>
    </row>
    <row r="38" spans="9:10">
      <c r="I38" t="str">
        <f t="shared" si="3"/>
        <v>ноя</v>
      </c>
      <c r="J38">
        <f t="shared" si="4"/>
        <v>1461756.25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xr:uid="{00000000-0002-0000-0000-000000000000}">
          <x14:formula1>
            <xm:f>Данные!$N$7:$N$44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5788"/>
  </sheetPr>
  <dimension ref="A1:O37"/>
  <sheetViews>
    <sheetView workbookViewId="0">
      <selection activeCell="D5" sqref="D5"/>
    </sheetView>
  </sheetViews>
  <sheetFormatPr defaultRowHeight="14.25"/>
  <cols>
    <col min="1" max="1" width="16" customWidth="1"/>
    <col min="2" max="2" width="12" customWidth="1"/>
    <col min="3" max="8" width="11" customWidth="1"/>
    <col min="9" max="9" width="3" customWidth="1"/>
    <col min="10" max="15" width="11" customWidth="1"/>
  </cols>
  <sheetData>
    <row r="1" spans="1:15" ht="21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0" customHeight="1">
      <c r="A2" s="2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1.95" customHeight="1">
      <c r="A3" s="7" t="s">
        <v>18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1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1.95" customHeight="1">
      <c r="A5" s="1" t="s">
        <v>19</v>
      </c>
      <c r="B5" s="1"/>
      <c r="C5" s="1"/>
      <c r="D5" s="11">
        <f>SUMPRODUCT(B10:B19,D10:D19)/SUM(B10:B19)</f>
        <v>0.19941728714794432</v>
      </c>
      <c r="E5" s="1"/>
      <c r="F5" s="17" t="s">
        <v>20</v>
      </c>
      <c r="G5" s="1"/>
      <c r="H5" s="1"/>
      <c r="I5" s="1"/>
      <c r="J5" s="1"/>
      <c r="K5" s="1"/>
      <c r="L5" s="1"/>
      <c r="M5" s="1"/>
      <c r="N5" s="1"/>
      <c r="O5" s="1"/>
    </row>
    <row r="6" spans="1:15" ht="21.9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21.9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38.1" customHeight="1">
      <c r="A8" s="6" t="s">
        <v>21</v>
      </c>
      <c r="B8" s="6" t="s">
        <v>22</v>
      </c>
      <c r="C8" s="18">
        <v>0</v>
      </c>
      <c r="D8" s="18">
        <v>1</v>
      </c>
      <c r="E8" s="18">
        <v>2</v>
      </c>
      <c r="F8" s="18">
        <v>3</v>
      </c>
      <c r="G8" s="18">
        <v>4</v>
      </c>
      <c r="H8" s="18">
        <v>5</v>
      </c>
      <c r="I8" s="1"/>
      <c r="J8" s="1"/>
      <c r="K8" s="1"/>
      <c r="L8" s="1"/>
      <c r="M8" s="1"/>
      <c r="N8" s="1"/>
      <c r="O8" s="1"/>
    </row>
    <row r="9" spans="1:15" ht="21.95" customHeight="1">
      <c r="A9" s="3">
        <v>40513</v>
      </c>
      <c r="B9" s="4">
        <f>SUMIFS(Данные!$K$7:$K$78,Данные!$I$7:$I$78,$A9,Данные!$J$7:$J$78,0)</f>
        <v>885</v>
      </c>
      <c r="C9" s="12">
        <f>IF(EDATE($A9,C$8)&gt;DATE(2011,11,1),"",SUMIFS(Данные!$L$7:$L$78,Данные!$I$7:$I$78,$A9,Данные!$J$7:$J$78,C$8)/$B9)</f>
        <v>1</v>
      </c>
      <c r="D9" s="12">
        <f>IF(EDATE($A9,D$8)&gt;DATE(2011,11,1),"",SUMIFS(Данные!$L$7:$L$78,Данные!$I$7:$I$78,$A9,Данные!$J$7:$J$78,D$8)/$B9)</f>
        <v>0.36610169491525424</v>
      </c>
      <c r="E9" s="12">
        <f>IF(EDATE($A9,E$8)&gt;DATE(2011,11,1),"",SUMIFS(Данные!$L$7:$L$78,Данные!$I$7:$I$78,$A9,Данные!$J$7:$J$78,E$8)/$B9)</f>
        <v>0.32316384180790958</v>
      </c>
      <c r="F9" s="12">
        <f>IF(EDATE($A9,F$8)&gt;DATE(2011,11,1),"",SUMIFS(Данные!$L$7:$L$78,Данные!$I$7:$I$78,$A9,Данные!$J$7:$J$78,F$8)/$B9)</f>
        <v>0.38418079096045199</v>
      </c>
      <c r="G9" s="12">
        <f>IF(EDATE($A9,G$8)&gt;DATE(2011,11,1),"",SUMIFS(Данные!$L$7:$L$78,Данные!$I$7:$I$78,$A9,Данные!$J$7:$J$78,G$8)/$B9)</f>
        <v>0.36271186440677966</v>
      </c>
      <c r="H9" s="12">
        <f>IF(EDATE($A9,H$8)&gt;DATE(2011,11,1),"",SUMIFS(Данные!$L$7:$L$78,Данные!$I$7:$I$78,$A9,Данные!$J$7:$J$78,H$8)/$B9)</f>
        <v>0.3977401129943503</v>
      </c>
      <c r="I9" s="1"/>
      <c r="J9" s="1"/>
      <c r="K9" s="1"/>
      <c r="L9" s="1"/>
      <c r="M9" s="1"/>
      <c r="N9" s="1"/>
      <c r="O9" s="1"/>
    </row>
    <row r="10" spans="1:15" ht="21.95" customHeight="1">
      <c r="A10" s="3">
        <v>40544</v>
      </c>
      <c r="B10" s="4">
        <f>SUMIFS(Данные!$K$7:$K$78,Данные!$I$7:$I$78,$A10,Данные!$J$7:$J$78,0)</f>
        <v>417</v>
      </c>
      <c r="C10" s="12">
        <f>IF(EDATE($A10,C$8)&gt;DATE(2011,11,1),"",SUMIFS(Данные!$L$7:$L$78,Данные!$I$7:$I$78,$A10,Данные!$J$7:$J$78,C$8)/$B10)</f>
        <v>1</v>
      </c>
      <c r="D10" s="12">
        <f>IF(EDATE($A10,D$8)&gt;DATE(2011,11,1),"",SUMIFS(Данные!$L$7:$L$78,Данные!$I$7:$I$78,$A10,Данные!$J$7:$J$78,D$8)/$B10)</f>
        <v>0.22062350119904076</v>
      </c>
      <c r="E10" s="12">
        <f>IF(EDATE($A10,E$8)&gt;DATE(2011,11,1),"",SUMIFS(Данные!$L$7:$L$78,Данные!$I$7:$I$78,$A10,Данные!$J$7:$J$78,E$8)/$B10)</f>
        <v>0.26618705035971224</v>
      </c>
      <c r="F10" s="12">
        <f>IF(EDATE($A10,F$8)&gt;DATE(2011,11,1),"",SUMIFS(Данные!$L$7:$L$78,Данные!$I$7:$I$78,$A10,Данные!$J$7:$J$78,F$8)/$B10)</f>
        <v>0.23021582733812951</v>
      </c>
      <c r="G10" s="12">
        <f>IF(EDATE($A10,G$8)&gt;DATE(2011,11,1),"",SUMIFS(Данные!$L$7:$L$78,Данные!$I$7:$I$78,$A10,Данные!$J$7:$J$78,G$8)/$B10)</f>
        <v>0.32134292565947242</v>
      </c>
      <c r="H10" s="12">
        <f>IF(EDATE($A10,H$8)&gt;DATE(2011,11,1),"",SUMIFS(Данные!$L$7:$L$78,Данные!$I$7:$I$78,$A10,Данные!$J$7:$J$78,H$8)/$B10)</f>
        <v>0.28776978417266186</v>
      </c>
      <c r="I10" s="1"/>
      <c r="J10" s="1"/>
      <c r="K10" s="1"/>
      <c r="L10" s="1"/>
      <c r="M10" s="1"/>
      <c r="N10" s="1"/>
      <c r="O10" s="1"/>
    </row>
    <row r="11" spans="1:15" ht="21.95" customHeight="1">
      <c r="A11" s="3">
        <v>40575</v>
      </c>
      <c r="B11" s="4">
        <f>SUMIFS(Данные!$K$7:$K$78,Данные!$I$7:$I$78,$A11,Данные!$J$7:$J$78,0)</f>
        <v>380</v>
      </c>
      <c r="C11" s="12">
        <f>IF(EDATE($A11,C$8)&gt;DATE(2011,11,1),"",SUMIFS(Данные!$L$7:$L$78,Данные!$I$7:$I$78,$A11,Данные!$J$7:$J$78,C$8)/$B11)</f>
        <v>1</v>
      </c>
      <c r="D11" s="12">
        <f>IF(EDATE($A11,D$8)&gt;DATE(2011,11,1),"",SUMIFS(Данные!$L$7:$L$78,Данные!$I$7:$I$78,$A11,Данные!$J$7:$J$78,D$8)/$B11)</f>
        <v>0.18684210526315789</v>
      </c>
      <c r="E11" s="12">
        <f>IF(EDATE($A11,E$8)&gt;DATE(2011,11,1),"",SUMIFS(Данные!$L$7:$L$78,Данные!$I$7:$I$78,$A11,Данные!$J$7:$J$78,E$8)/$B11)</f>
        <v>0.18684210526315789</v>
      </c>
      <c r="F11" s="12">
        <f>IF(EDATE($A11,F$8)&gt;DATE(2011,11,1),"",SUMIFS(Данные!$L$7:$L$78,Данные!$I$7:$I$78,$A11,Данные!$J$7:$J$78,F$8)/$B11)</f>
        <v>0.28421052631578947</v>
      </c>
      <c r="G11" s="12">
        <f>IF(EDATE($A11,G$8)&gt;DATE(2011,11,1),"",SUMIFS(Данные!$L$7:$L$78,Данные!$I$7:$I$78,$A11,Данные!$J$7:$J$78,G$8)/$B11)</f>
        <v>0.27105263157894738</v>
      </c>
      <c r="H11" s="12">
        <f>IF(EDATE($A11,H$8)&gt;DATE(2011,11,1),"",SUMIFS(Данные!$L$7:$L$78,Данные!$I$7:$I$78,$A11,Данные!$J$7:$J$78,H$8)/$B11)</f>
        <v>0.24736842105263157</v>
      </c>
      <c r="I11" s="1"/>
      <c r="J11" s="1"/>
      <c r="K11" s="1"/>
      <c r="L11" s="1"/>
      <c r="M11" s="1"/>
      <c r="N11" s="1"/>
      <c r="O11" s="1"/>
    </row>
    <row r="12" spans="1:15" ht="21.95" customHeight="1">
      <c r="A12" s="3">
        <v>40603</v>
      </c>
      <c r="B12" s="4">
        <f>SUMIFS(Данные!$K$7:$K$78,Данные!$I$7:$I$78,$A12,Данные!$J$7:$J$78,0)</f>
        <v>452</v>
      </c>
      <c r="C12" s="12">
        <f>IF(EDATE($A12,C$8)&gt;DATE(2011,11,1),"",SUMIFS(Данные!$L$7:$L$78,Данные!$I$7:$I$78,$A12,Данные!$J$7:$J$78,C$8)/$B12)</f>
        <v>1</v>
      </c>
      <c r="D12" s="12">
        <f>IF(EDATE($A12,D$8)&gt;DATE(2011,11,1),"",SUMIFS(Данные!$L$7:$L$78,Данные!$I$7:$I$78,$A12,Данные!$J$7:$J$78,D$8)/$B12)</f>
        <v>0.15044247787610621</v>
      </c>
      <c r="E12" s="12">
        <f>IF(EDATE($A12,E$8)&gt;DATE(2011,11,1),"",SUMIFS(Данные!$L$7:$L$78,Данные!$I$7:$I$78,$A12,Данные!$J$7:$J$78,E$8)/$B12)</f>
        <v>0.25221238938053098</v>
      </c>
      <c r="F12" s="12">
        <f>IF(EDATE($A12,F$8)&gt;DATE(2011,11,1),"",SUMIFS(Данные!$L$7:$L$78,Данные!$I$7:$I$78,$A12,Данные!$J$7:$J$78,F$8)/$B12)</f>
        <v>0.19911504424778761</v>
      </c>
      <c r="G12" s="12">
        <f>IF(EDATE($A12,G$8)&gt;DATE(2011,11,1),"",SUMIFS(Данные!$L$7:$L$78,Данные!$I$7:$I$78,$A12,Данные!$J$7:$J$78,G$8)/$B12)</f>
        <v>0.22345132743362831</v>
      </c>
      <c r="H12" s="12">
        <f>IF(EDATE($A12,H$8)&gt;DATE(2011,11,1),"",SUMIFS(Данные!$L$7:$L$78,Данные!$I$7:$I$78,$A12,Данные!$J$7:$J$78,H$8)/$B12)</f>
        <v>0.16814159292035399</v>
      </c>
      <c r="I12" s="1"/>
      <c r="J12" s="1"/>
      <c r="K12" s="1"/>
      <c r="L12" s="1"/>
      <c r="M12" s="1"/>
      <c r="N12" s="1"/>
      <c r="O12" s="1"/>
    </row>
    <row r="13" spans="1:15" ht="21.95" customHeight="1">
      <c r="A13" s="3">
        <v>40634</v>
      </c>
      <c r="B13" s="4">
        <f>SUMIFS(Данные!$K$7:$K$78,Данные!$I$7:$I$78,$A13,Данные!$J$7:$J$78,0)</f>
        <v>300</v>
      </c>
      <c r="C13" s="12">
        <f>IF(EDATE($A13,C$8)&gt;DATE(2011,11,1),"",SUMIFS(Данные!$L$7:$L$78,Данные!$I$7:$I$78,$A13,Данные!$J$7:$J$78,C$8)/$B13)</f>
        <v>1</v>
      </c>
      <c r="D13" s="12">
        <f>IF(EDATE($A13,D$8)&gt;DATE(2011,11,1),"",SUMIFS(Данные!$L$7:$L$78,Данные!$I$7:$I$78,$A13,Данные!$J$7:$J$78,D$8)/$B13)</f>
        <v>0.21333333333333335</v>
      </c>
      <c r="E13" s="12">
        <f>IF(EDATE($A13,E$8)&gt;DATE(2011,11,1),"",SUMIFS(Данные!$L$7:$L$78,Данные!$I$7:$I$78,$A13,Данные!$J$7:$J$78,E$8)/$B13)</f>
        <v>0.20333333333333334</v>
      </c>
      <c r="F13" s="12">
        <f>IF(EDATE($A13,F$8)&gt;DATE(2011,11,1),"",SUMIFS(Данные!$L$7:$L$78,Данные!$I$7:$I$78,$A13,Данные!$J$7:$J$78,F$8)/$B13)</f>
        <v>0.21</v>
      </c>
      <c r="G13" s="12">
        <f>IF(EDATE($A13,G$8)&gt;DATE(2011,11,1),"",SUMIFS(Данные!$L$7:$L$78,Данные!$I$7:$I$78,$A13,Данные!$J$7:$J$78,G$8)/$B13)</f>
        <v>0.19666666666666666</v>
      </c>
      <c r="H13" s="12">
        <f>IF(EDATE($A13,H$8)&gt;DATE(2011,11,1),"",SUMIFS(Данные!$L$7:$L$78,Данные!$I$7:$I$78,$A13,Данные!$J$7:$J$78,H$8)/$B13)</f>
        <v>0.22666666666666666</v>
      </c>
      <c r="I13" s="1"/>
      <c r="J13" s="1"/>
      <c r="K13" s="1"/>
      <c r="L13" s="1"/>
      <c r="M13" s="1"/>
      <c r="N13" s="1"/>
      <c r="O13" s="1"/>
    </row>
    <row r="14" spans="1:15" ht="21.95" customHeight="1">
      <c r="A14" s="3">
        <v>40664</v>
      </c>
      <c r="B14" s="4">
        <f>SUMIFS(Данные!$K$7:$K$78,Данные!$I$7:$I$78,$A14,Данные!$J$7:$J$78,0)</f>
        <v>284</v>
      </c>
      <c r="C14" s="12">
        <f>IF(EDATE($A14,C$8)&gt;DATE(2011,11,1),"",SUMIFS(Данные!$L$7:$L$78,Данные!$I$7:$I$78,$A14,Данные!$J$7:$J$78,C$8)/$B14)</f>
        <v>1</v>
      </c>
      <c r="D14" s="12">
        <f>IF(EDATE($A14,D$8)&gt;DATE(2011,11,1),"",SUMIFS(Данные!$L$7:$L$78,Данные!$I$7:$I$78,$A14,Данные!$J$7:$J$78,D$8)/$B14)</f>
        <v>0.19014084507042253</v>
      </c>
      <c r="E14" s="12">
        <f>IF(EDATE($A14,E$8)&gt;DATE(2011,11,1),"",SUMIFS(Данные!$L$7:$L$78,Данные!$I$7:$I$78,$A14,Данные!$J$7:$J$78,E$8)/$B14)</f>
        <v>0.17253521126760563</v>
      </c>
      <c r="F14" s="12">
        <f>IF(EDATE($A14,F$8)&gt;DATE(2011,11,1),"",SUMIFS(Данные!$L$7:$L$78,Данные!$I$7:$I$78,$A14,Данные!$J$7:$J$78,F$8)/$B14)</f>
        <v>0.17253521126760563</v>
      </c>
      <c r="G14" s="12">
        <f>IF(EDATE($A14,G$8)&gt;DATE(2011,11,1),"",SUMIFS(Данные!$L$7:$L$78,Данные!$I$7:$I$78,$A14,Данные!$J$7:$J$78,G$8)/$B14)</f>
        <v>0.20774647887323944</v>
      </c>
      <c r="H14" s="12">
        <f>IF(EDATE($A14,H$8)&gt;DATE(2011,11,1),"",SUMIFS(Данные!$L$7:$L$78,Данные!$I$7:$I$78,$A14,Данные!$J$7:$J$78,H$8)/$B14)</f>
        <v>0.23239436619718309</v>
      </c>
      <c r="I14" s="1"/>
      <c r="J14" s="1"/>
      <c r="K14" s="1"/>
      <c r="L14" s="1"/>
      <c r="M14" s="1"/>
      <c r="N14" s="1"/>
      <c r="O14" s="1"/>
    </row>
    <row r="15" spans="1:15" ht="21.95" customHeight="1">
      <c r="A15" s="3">
        <v>40695</v>
      </c>
      <c r="B15" s="4">
        <f>SUMIFS(Данные!$K$7:$K$78,Данные!$I$7:$I$78,$A15,Данные!$J$7:$J$78,0)</f>
        <v>242</v>
      </c>
      <c r="C15" s="12">
        <f>IF(EDATE($A15,C$8)&gt;DATE(2011,11,1),"",SUMIFS(Данные!$L$7:$L$78,Данные!$I$7:$I$78,$A15,Данные!$J$7:$J$78,C$8)/$B15)</f>
        <v>1</v>
      </c>
      <c r="D15" s="12">
        <f>IF(EDATE($A15,D$8)&gt;DATE(2011,11,1),"",SUMIFS(Данные!$L$7:$L$78,Данные!$I$7:$I$78,$A15,Данные!$J$7:$J$78,D$8)/$B15)</f>
        <v>0.17355371900826447</v>
      </c>
      <c r="E15" s="12">
        <f>IF(EDATE($A15,E$8)&gt;DATE(2011,11,1),"",SUMIFS(Данные!$L$7:$L$78,Данные!$I$7:$I$78,$A15,Данные!$J$7:$J$78,E$8)/$B15)</f>
        <v>0.15702479338842976</v>
      </c>
      <c r="F15" s="12">
        <f>IF(EDATE($A15,F$8)&gt;DATE(2011,11,1),"",SUMIFS(Данные!$L$7:$L$78,Данные!$I$7:$I$78,$A15,Данные!$J$7:$J$78,F$8)/$B15)</f>
        <v>0.26446280991735538</v>
      </c>
      <c r="G15" s="12">
        <f>IF(EDATE($A15,G$8)&gt;DATE(2011,11,1),"",SUMIFS(Данные!$L$7:$L$78,Данные!$I$7:$I$78,$A15,Данные!$J$7:$J$78,G$8)/$B15)</f>
        <v>0.23140495867768596</v>
      </c>
      <c r="H15" s="12">
        <f>IF(EDATE($A15,H$8)&gt;DATE(2011,11,1),"",SUMIFS(Данные!$L$7:$L$78,Данные!$I$7:$I$78,$A15,Данные!$J$7:$J$78,H$8)/$B15)</f>
        <v>0.33471074380165289</v>
      </c>
      <c r="I15" s="1"/>
      <c r="J15" s="1"/>
      <c r="K15" s="1"/>
      <c r="L15" s="1"/>
      <c r="M15" s="1"/>
      <c r="N15" s="1"/>
      <c r="O15" s="1"/>
    </row>
    <row r="16" spans="1:15" ht="21.95" customHeight="1">
      <c r="A16" s="3">
        <v>40725</v>
      </c>
      <c r="B16" s="4">
        <f>SUMIFS(Данные!$K$7:$K$78,Данные!$I$7:$I$78,$A16,Данные!$J$7:$J$78,0)</f>
        <v>188</v>
      </c>
      <c r="C16" s="12">
        <f>IF(EDATE($A16,C$8)&gt;DATE(2011,11,1),"",SUMIFS(Данные!$L$7:$L$78,Данные!$I$7:$I$78,$A16,Данные!$J$7:$J$78,C$8)/$B16)</f>
        <v>1</v>
      </c>
      <c r="D16" s="12">
        <f>IF(EDATE($A16,D$8)&gt;DATE(2011,11,1),"",SUMIFS(Данные!$L$7:$L$78,Данные!$I$7:$I$78,$A16,Данные!$J$7:$J$78,D$8)/$B16)</f>
        <v>0.18085106382978725</v>
      </c>
      <c r="E16" s="12">
        <f>IF(EDATE($A16,E$8)&gt;DATE(2011,11,1),"",SUMIFS(Данные!$L$7:$L$78,Данные!$I$7:$I$78,$A16,Данные!$J$7:$J$78,E$8)/$B16)</f>
        <v>0.20744680851063829</v>
      </c>
      <c r="F16" s="12">
        <f>IF(EDATE($A16,F$8)&gt;DATE(2011,11,1),"",SUMIFS(Данные!$L$7:$L$78,Данные!$I$7:$I$78,$A16,Данные!$J$7:$J$78,F$8)/$B16)</f>
        <v>0.22340425531914893</v>
      </c>
      <c r="G16" s="12">
        <f>IF(EDATE($A16,G$8)&gt;DATE(2011,11,1),"",SUMIFS(Данные!$L$7:$L$78,Данные!$I$7:$I$78,$A16,Данные!$J$7:$J$78,G$8)/$B16)</f>
        <v>0.27127659574468083</v>
      </c>
      <c r="H16" s="12" t="str">
        <f>IF(EDATE($A16,H$8)&gt;DATE(2011,11,1),"",SUMIFS(Данные!$L$7:$L$78,Данные!$I$7:$I$78,$A16,Данные!$J$7:$J$78,H$8)/$B16)</f>
        <v/>
      </c>
      <c r="I16" s="1"/>
      <c r="J16" s="1"/>
      <c r="K16" s="1"/>
      <c r="L16" s="1"/>
      <c r="M16" s="1"/>
      <c r="N16" s="1"/>
      <c r="O16" s="1"/>
    </row>
    <row r="17" spans="1:15" ht="21.95" customHeight="1">
      <c r="A17" s="3">
        <v>40756</v>
      </c>
      <c r="B17" s="4">
        <f>SUMIFS(Данные!$K$7:$K$78,Данные!$I$7:$I$78,$A17,Данные!$J$7:$J$78,0)</f>
        <v>169</v>
      </c>
      <c r="C17" s="12">
        <f>IF(EDATE($A17,C$8)&gt;DATE(2011,11,1),"",SUMIFS(Данные!$L$7:$L$78,Данные!$I$7:$I$78,$A17,Данные!$J$7:$J$78,C$8)/$B17)</f>
        <v>1</v>
      </c>
      <c r="D17" s="12">
        <f>IF(EDATE($A17,D$8)&gt;DATE(2011,11,1),"",SUMIFS(Данные!$L$7:$L$78,Данные!$I$7:$I$78,$A17,Данные!$J$7:$J$78,D$8)/$B17)</f>
        <v>0.20710059171597633</v>
      </c>
      <c r="E17" s="12">
        <f>IF(EDATE($A17,E$8)&gt;DATE(2011,11,1),"",SUMIFS(Данные!$L$7:$L$78,Данные!$I$7:$I$78,$A17,Данные!$J$7:$J$78,E$8)/$B17)</f>
        <v>0.24852071005917159</v>
      </c>
      <c r="F17" s="12">
        <f>IF(EDATE($A17,F$8)&gt;DATE(2011,11,1),"",SUMIFS(Данные!$L$7:$L$78,Данные!$I$7:$I$78,$A17,Данные!$J$7:$J$78,F$8)/$B17)</f>
        <v>0.24260355029585798</v>
      </c>
      <c r="G17" s="12" t="str">
        <f>IF(EDATE($A17,G$8)&gt;DATE(2011,11,1),"",SUMIFS(Данные!$L$7:$L$78,Данные!$I$7:$I$78,$A17,Данные!$J$7:$J$78,G$8)/$B17)</f>
        <v/>
      </c>
      <c r="H17" s="12" t="str">
        <f>IF(EDATE($A17,H$8)&gt;DATE(2011,11,1),"",SUMIFS(Данные!$L$7:$L$78,Данные!$I$7:$I$78,$A17,Данные!$J$7:$J$78,H$8)/$B17)</f>
        <v/>
      </c>
      <c r="I17" s="1"/>
      <c r="J17" s="1"/>
      <c r="K17" s="1"/>
      <c r="L17" s="1"/>
      <c r="M17" s="1"/>
      <c r="N17" s="1"/>
      <c r="O17" s="1"/>
    </row>
    <row r="18" spans="1:15" ht="21.95" customHeight="1">
      <c r="A18" s="3">
        <v>40787</v>
      </c>
      <c r="B18" s="4">
        <f>SUMIFS(Данные!$K$7:$K$78,Данные!$I$7:$I$78,$A18,Данные!$J$7:$J$78,0)</f>
        <v>299</v>
      </c>
      <c r="C18" s="12">
        <f>IF(EDATE($A18,C$8)&gt;DATE(2011,11,1),"",SUMIFS(Данные!$L$7:$L$78,Данные!$I$7:$I$78,$A18,Данные!$J$7:$J$78,C$8)/$B18)</f>
        <v>1</v>
      </c>
      <c r="D18" s="12">
        <f>IF(EDATE($A18,D$8)&gt;DATE(2011,11,1),"",SUMIFS(Данные!$L$7:$L$78,Данные!$I$7:$I$78,$A18,Данные!$J$7:$J$78,D$8)/$B18)</f>
        <v>0.23411371237458195</v>
      </c>
      <c r="E18" s="12">
        <f>IF(EDATE($A18,E$8)&gt;DATE(2011,11,1),"",SUMIFS(Данные!$L$7:$L$78,Данные!$I$7:$I$78,$A18,Данные!$J$7:$J$78,E$8)/$B18)</f>
        <v>0.30100334448160537</v>
      </c>
      <c r="F18" s="12" t="str">
        <f>IF(EDATE($A18,F$8)&gt;DATE(2011,11,1),"",SUMIFS(Данные!$L$7:$L$78,Данные!$I$7:$I$78,$A18,Данные!$J$7:$J$78,F$8)/$B18)</f>
        <v/>
      </c>
      <c r="G18" s="12" t="str">
        <f>IF(EDATE($A18,G$8)&gt;DATE(2011,11,1),"",SUMIFS(Данные!$L$7:$L$78,Данные!$I$7:$I$78,$A18,Данные!$J$7:$J$78,G$8)/$B18)</f>
        <v/>
      </c>
      <c r="H18" s="12" t="str">
        <f>IF(EDATE($A18,H$8)&gt;DATE(2011,11,1),"",SUMIFS(Данные!$L$7:$L$78,Данные!$I$7:$I$78,$A18,Данные!$J$7:$J$78,H$8)/$B18)</f>
        <v/>
      </c>
      <c r="I18" s="1"/>
      <c r="J18" s="1"/>
      <c r="K18" s="1"/>
      <c r="L18" s="1"/>
      <c r="M18" s="1"/>
      <c r="N18" s="1"/>
      <c r="O18" s="1"/>
    </row>
    <row r="19" spans="1:15" ht="21.95" customHeight="1">
      <c r="A19" s="3">
        <v>40817</v>
      </c>
      <c r="B19" s="4">
        <f>SUMIFS(Данные!$K$7:$K$78,Данные!$I$7:$I$78,$A19,Данные!$J$7:$J$78,0)</f>
        <v>358</v>
      </c>
      <c r="C19" s="12">
        <f>IF(EDATE($A19,C$8)&gt;DATE(2011,11,1),"",SUMIFS(Данные!$L$7:$L$78,Данные!$I$7:$I$78,$A19,Данные!$J$7:$J$78,C$8)/$B19)</f>
        <v>1</v>
      </c>
      <c r="D19" s="12">
        <f>IF(EDATE($A19,D$8)&gt;DATE(2011,11,1),"",SUMIFS(Данные!$L$7:$L$78,Данные!$I$7:$I$78,$A19,Данные!$J$7:$J$78,D$8)/$B19)</f>
        <v>0.24022346368715083</v>
      </c>
      <c r="E19" s="12" t="str">
        <f>IF(EDATE($A19,E$8)&gt;DATE(2011,11,1),"",SUMIFS(Данные!$L$7:$L$78,Данные!$I$7:$I$78,$A19,Данные!$J$7:$J$78,E$8)/$B19)</f>
        <v/>
      </c>
      <c r="F19" s="12" t="str">
        <f>IF(EDATE($A19,F$8)&gt;DATE(2011,11,1),"",SUMIFS(Данные!$L$7:$L$78,Данные!$I$7:$I$78,$A19,Данные!$J$7:$J$78,F$8)/$B19)</f>
        <v/>
      </c>
      <c r="G19" s="12" t="str">
        <f>IF(EDATE($A19,G$8)&gt;DATE(2011,11,1),"",SUMIFS(Данные!$L$7:$L$78,Данные!$I$7:$I$78,$A19,Данные!$J$7:$J$78,G$8)/$B19)</f>
        <v/>
      </c>
      <c r="H19" s="12" t="str">
        <f>IF(EDATE($A19,H$8)&gt;DATE(2011,11,1),"",SUMIFS(Данные!$L$7:$L$78,Данные!$I$7:$I$78,$A19,Данные!$J$7:$J$78,H$8)/$B19)</f>
        <v/>
      </c>
      <c r="I19" s="1"/>
      <c r="J19" s="1"/>
      <c r="K19" s="1"/>
      <c r="L19" s="1"/>
      <c r="M19" s="1"/>
      <c r="N19" s="1"/>
      <c r="O19" s="1"/>
    </row>
    <row r="20" spans="1:15" ht="21.95" customHeight="1">
      <c r="A20" s="3">
        <v>40848</v>
      </c>
      <c r="B20" s="4">
        <f>SUMIFS(Данные!$K$7:$K$78,Данные!$I$7:$I$78,$A20,Данные!$J$7:$J$78,0)</f>
        <v>323</v>
      </c>
      <c r="C20" s="12">
        <f>IF(EDATE($A20,C$8)&gt;DATE(2011,11,1),"",SUMIFS(Данные!$L$7:$L$78,Данные!$I$7:$I$78,$A20,Данные!$J$7:$J$78,C$8)/$B20)</f>
        <v>1</v>
      </c>
      <c r="D20" s="12" t="str">
        <f>IF(EDATE($A20,D$8)&gt;DATE(2011,11,1),"",SUMIFS(Данные!$L$7:$L$78,Данные!$I$7:$I$78,$A20,Данные!$J$7:$J$78,D$8)/$B20)</f>
        <v/>
      </c>
      <c r="E20" s="12" t="str">
        <f>IF(EDATE($A20,E$8)&gt;DATE(2011,11,1),"",SUMIFS(Данные!$L$7:$L$78,Данные!$I$7:$I$78,$A20,Данные!$J$7:$J$78,E$8)/$B20)</f>
        <v/>
      </c>
      <c r="F20" s="12" t="str">
        <f>IF(EDATE($A20,F$8)&gt;DATE(2011,11,1),"",SUMIFS(Данные!$L$7:$L$78,Данные!$I$7:$I$78,$A20,Данные!$J$7:$J$78,F$8)/$B20)</f>
        <v/>
      </c>
      <c r="G20" s="12" t="str">
        <f>IF(EDATE($A20,G$8)&gt;DATE(2011,11,1),"",SUMIFS(Данные!$L$7:$L$78,Данные!$I$7:$I$78,$A20,Данные!$J$7:$J$78,G$8)/$B20)</f>
        <v/>
      </c>
      <c r="H20" s="12" t="str">
        <f>IF(EDATE($A20,H$8)&gt;DATE(2011,11,1),"",SUMIFS(Данные!$L$7:$L$78,Данные!$I$7:$I$78,$A20,Данные!$J$7:$J$78,H$8)/$B20)</f>
        <v/>
      </c>
      <c r="I20" s="1"/>
      <c r="J20" s="1"/>
      <c r="K20" s="1"/>
      <c r="L20" s="1"/>
      <c r="M20" s="1"/>
      <c r="N20" s="1"/>
      <c r="O20" s="1"/>
    </row>
    <row r="21" spans="1:15" ht="21.9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1.9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1.95" customHeight="1">
      <c r="A23" s="17" t="s">
        <v>23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1.95" customHeight="1">
      <c r="A24" s="17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1.95" customHeight="1">
      <c r="A25" s="17" t="s">
        <v>25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1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1.95" customHeight="1">
      <c r="A27" s="1"/>
      <c r="B27" s="1"/>
      <c r="C27" s="1"/>
      <c r="D27" s="1"/>
      <c r="E27" s="1"/>
      <c r="F27" s="1"/>
      <c r="G27" s="1"/>
      <c r="H27" s="1"/>
      <c r="I27" s="1"/>
      <c r="J27" s="1" t="s">
        <v>21</v>
      </c>
      <c r="K27" s="1" t="s">
        <v>26</v>
      </c>
      <c r="L27" s="1"/>
      <c r="M27" s="1"/>
      <c r="N27" s="1"/>
      <c r="O27" s="1"/>
    </row>
    <row r="28" spans="1:15" ht="21.95" customHeight="1">
      <c r="A28" s="1"/>
      <c r="B28" s="1"/>
      <c r="C28" s="1"/>
      <c r="D28" s="1"/>
      <c r="E28" s="1"/>
      <c r="F28" s="1"/>
      <c r="G28" s="1"/>
      <c r="H28" s="1"/>
      <c r="I28" s="1"/>
      <c r="J28" s="1" t="str">
        <f t="shared" ref="J28:J37" si="0">CHOOSE(MONTH(A10),"янв","фев","мар","апр","май","июн","июл","авг","сен","окт","ноя","дек")</f>
        <v>янв</v>
      </c>
      <c r="K28" s="1">
        <f t="shared" ref="K28:K37" si="1">D10</f>
        <v>0.22062350119904076</v>
      </c>
      <c r="L28" s="1"/>
      <c r="M28" s="1"/>
      <c r="N28" s="1"/>
      <c r="O28" s="1"/>
    </row>
    <row r="29" spans="1:15" ht="21.95" customHeight="1">
      <c r="A29" s="1"/>
      <c r="B29" s="1"/>
      <c r="C29" s="1"/>
      <c r="D29" s="1"/>
      <c r="E29" s="1"/>
      <c r="F29" s="1"/>
      <c r="G29" s="1"/>
      <c r="H29" s="1"/>
      <c r="I29" s="1"/>
      <c r="J29" s="1" t="str">
        <f t="shared" si="0"/>
        <v>фев</v>
      </c>
      <c r="K29" s="1">
        <f t="shared" si="1"/>
        <v>0.18684210526315789</v>
      </c>
      <c r="L29" s="1"/>
      <c r="M29" s="1"/>
      <c r="N29" s="1"/>
      <c r="O29" s="1"/>
    </row>
    <row r="30" spans="1:15" ht="21.95" customHeight="1">
      <c r="A30" s="1"/>
      <c r="B30" s="1"/>
      <c r="C30" s="1"/>
      <c r="D30" s="1"/>
      <c r="E30" s="1"/>
      <c r="F30" s="1"/>
      <c r="G30" s="1"/>
      <c r="H30" s="1"/>
      <c r="I30" s="1"/>
      <c r="J30" s="1" t="str">
        <f t="shared" si="0"/>
        <v>мар</v>
      </c>
      <c r="K30" s="1">
        <f t="shared" si="1"/>
        <v>0.15044247787610621</v>
      </c>
      <c r="L30" s="1"/>
      <c r="M30" s="1"/>
      <c r="N30" s="1"/>
      <c r="O30" s="1"/>
    </row>
    <row r="31" spans="1:15">
      <c r="J31" t="str">
        <f t="shared" si="0"/>
        <v>апр</v>
      </c>
      <c r="K31">
        <f t="shared" si="1"/>
        <v>0.21333333333333335</v>
      </c>
    </row>
    <row r="32" spans="1:15">
      <c r="J32" t="str">
        <f t="shared" si="0"/>
        <v>май</v>
      </c>
      <c r="K32">
        <f t="shared" si="1"/>
        <v>0.19014084507042253</v>
      </c>
    </row>
    <row r="33" spans="10:11">
      <c r="J33" t="str">
        <f t="shared" si="0"/>
        <v>июн</v>
      </c>
      <c r="K33">
        <f t="shared" si="1"/>
        <v>0.17355371900826447</v>
      </c>
    </row>
    <row r="34" spans="10:11">
      <c r="J34" t="str">
        <f t="shared" si="0"/>
        <v>июл</v>
      </c>
      <c r="K34">
        <f t="shared" si="1"/>
        <v>0.18085106382978725</v>
      </c>
    </row>
    <row r="35" spans="10:11">
      <c r="J35" t="str">
        <f t="shared" si="0"/>
        <v>авг</v>
      </c>
      <c r="K35">
        <f t="shared" si="1"/>
        <v>0.20710059171597633</v>
      </c>
    </row>
    <row r="36" spans="10:11">
      <c r="J36" t="str">
        <f t="shared" si="0"/>
        <v>сен</v>
      </c>
      <c r="K36">
        <f t="shared" si="1"/>
        <v>0.23411371237458195</v>
      </c>
    </row>
    <row r="37" spans="10:11">
      <c r="J37" t="str">
        <f t="shared" si="0"/>
        <v>окт</v>
      </c>
      <c r="K37">
        <f t="shared" si="1"/>
        <v>0.24022346368715083</v>
      </c>
    </row>
  </sheetData>
  <conditionalFormatting sqref="C9:H20">
    <cfRule type="colorScale" priority="1">
      <colorScale>
        <cfvo type="num" val="0"/>
        <cfvo type="num" val="0.25"/>
        <cfvo type="num" val="1"/>
        <color rgb="FFF3F6FA"/>
        <color rgb="FFADC5E0"/>
        <color rgb="FF386B9C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77"/>
  <sheetViews>
    <sheetView workbookViewId="0">
      <pane ySplit="6" topLeftCell="A7" activePane="bottomLeft" state="frozen"/>
      <selection pane="bottomLeft"/>
    </sheetView>
  </sheetViews>
  <sheetFormatPr defaultRowHeight="14.25"/>
  <cols>
    <col min="1" max="1" width="16" customWidth="1"/>
    <col min="2" max="2" width="23" customWidth="1"/>
    <col min="3" max="6" width="17" customWidth="1"/>
    <col min="7" max="8" width="3" customWidth="1"/>
    <col min="9" max="12" width="16" customWidth="1"/>
    <col min="14" max="14" width="24" customWidth="1"/>
  </cols>
  <sheetData>
    <row r="1" spans="1:16" ht="21.95" customHeight="1">
      <c r="A1" s="2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.9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1.95" customHeight="1">
      <c r="A3" s="1" t="s">
        <v>28</v>
      </c>
      <c r="B3" s="1"/>
      <c r="C3" s="1"/>
      <c r="D3" s="1"/>
      <c r="E3" s="1"/>
      <c r="F3" s="1"/>
      <c r="G3" s="1"/>
      <c r="H3" s="1"/>
      <c r="I3" s="1" t="s">
        <v>29</v>
      </c>
      <c r="J3" s="1"/>
      <c r="K3" s="1"/>
      <c r="L3" s="1"/>
      <c r="M3" s="1"/>
      <c r="N3" s="1"/>
      <c r="O3" s="1"/>
      <c r="P3" s="1"/>
    </row>
    <row r="4" spans="1:16" ht="21.95" customHeight="1">
      <c r="A4" s="1" t="s">
        <v>30</v>
      </c>
      <c r="B4" s="1"/>
      <c r="C4" s="1"/>
      <c r="D4" s="1"/>
      <c r="E4" s="1"/>
      <c r="F4" s="1"/>
      <c r="G4" s="1"/>
      <c r="H4" s="1"/>
      <c r="I4" s="1" t="s">
        <v>31</v>
      </c>
      <c r="J4" s="1"/>
      <c r="K4" s="1"/>
      <c r="L4" s="1"/>
      <c r="M4" s="1"/>
      <c r="N4" s="1"/>
      <c r="O4" s="1"/>
      <c r="P4" s="1"/>
    </row>
    <row r="5" spans="1:16" ht="21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8.1" customHeight="1">
      <c r="A6" s="6" t="s">
        <v>8</v>
      </c>
      <c r="B6" s="6" t="s">
        <v>2</v>
      </c>
      <c r="C6" s="6" t="s">
        <v>12</v>
      </c>
      <c r="D6" s="6" t="s">
        <v>9</v>
      </c>
      <c r="E6" s="6" t="s">
        <v>10</v>
      </c>
      <c r="F6" s="6" t="s">
        <v>32</v>
      </c>
      <c r="G6" s="1"/>
      <c r="H6" s="1"/>
      <c r="I6" s="6" t="s">
        <v>21</v>
      </c>
      <c r="J6" s="6" t="s">
        <v>33</v>
      </c>
      <c r="K6" s="6" t="s">
        <v>22</v>
      </c>
      <c r="L6" s="6" t="s">
        <v>34</v>
      </c>
      <c r="M6" s="1"/>
      <c r="N6" s="6" t="s">
        <v>35</v>
      </c>
      <c r="O6" s="1"/>
      <c r="P6" s="1"/>
    </row>
    <row r="7" spans="1:16" ht="21.95" customHeight="1">
      <c r="A7" s="3">
        <v>40544</v>
      </c>
      <c r="B7" s="1" t="s">
        <v>36</v>
      </c>
      <c r="C7" s="4">
        <v>9</v>
      </c>
      <c r="D7" s="5">
        <v>9017.7099999999991</v>
      </c>
      <c r="E7" s="5">
        <v>0</v>
      </c>
      <c r="F7" s="5">
        <v>9017.7099999999991</v>
      </c>
      <c r="G7" s="1"/>
      <c r="H7" s="1"/>
      <c r="I7" s="3">
        <v>40513</v>
      </c>
      <c r="J7" s="4">
        <v>0</v>
      </c>
      <c r="K7" s="4">
        <v>885</v>
      </c>
      <c r="L7" s="4">
        <v>885</v>
      </c>
      <c r="M7" s="1"/>
      <c r="N7" s="1" t="s">
        <v>3</v>
      </c>
      <c r="O7" s="1"/>
      <c r="P7" s="1"/>
    </row>
    <row r="8" spans="1:16" ht="21.95" customHeight="1">
      <c r="A8" s="3">
        <v>40544</v>
      </c>
      <c r="B8" s="1" t="s">
        <v>37</v>
      </c>
      <c r="C8" s="4">
        <v>0</v>
      </c>
      <c r="D8" s="5">
        <v>0</v>
      </c>
      <c r="E8" s="5">
        <v>205.74</v>
      </c>
      <c r="F8" s="5">
        <v>-205.74</v>
      </c>
      <c r="G8" s="1"/>
      <c r="H8" s="1"/>
      <c r="I8" s="3">
        <v>40513</v>
      </c>
      <c r="J8" s="4">
        <v>1</v>
      </c>
      <c r="K8" s="4">
        <v>885</v>
      </c>
      <c r="L8" s="4">
        <v>324</v>
      </c>
      <c r="M8" s="1"/>
      <c r="N8" s="1" t="s">
        <v>36</v>
      </c>
      <c r="O8" s="1"/>
      <c r="P8" s="1"/>
    </row>
    <row r="9" spans="1:16" ht="21.95" customHeight="1">
      <c r="A9" s="3">
        <v>40544</v>
      </c>
      <c r="B9" s="1" t="s">
        <v>38</v>
      </c>
      <c r="C9" s="4">
        <v>3</v>
      </c>
      <c r="D9" s="5">
        <v>1200.2</v>
      </c>
      <c r="E9" s="5">
        <v>46.15</v>
      </c>
      <c r="F9" s="5">
        <v>1154.05</v>
      </c>
      <c r="G9" s="1"/>
      <c r="H9" s="1"/>
      <c r="I9" s="3">
        <v>40513</v>
      </c>
      <c r="J9" s="4">
        <v>2</v>
      </c>
      <c r="K9" s="4">
        <v>885</v>
      </c>
      <c r="L9" s="4">
        <v>286</v>
      </c>
      <c r="M9" s="1"/>
      <c r="N9" s="1" t="s">
        <v>39</v>
      </c>
      <c r="O9" s="1"/>
      <c r="P9" s="1"/>
    </row>
    <row r="10" spans="1:16" ht="21.95" customHeight="1">
      <c r="A10" s="3">
        <v>40544</v>
      </c>
      <c r="B10" s="1" t="s">
        <v>40</v>
      </c>
      <c r="C10" s="4">
        <v>1</v>
      </c>
      <c r="D10" s="5">
        <v>675.58</v>
      </c>
      <c r="E10" s="5">
        <v>30.5</v>
      </c>
      <c r="F10" s="5">
        <v>645.08000000000004</v>
      </c>
      <c r="G10" s="1"/>
      <c r="H10" s="1"/>
      <c r="I10" s="3">
        <v>40513</v>
      </c>
      <c r="J10" s="4">
        <v>3</v>
      </c>
      <c r="K10" s="4">
        <v>885</v>
      </c>
      <c r="L10" s="4">
        <v>340</v>
      </c>
      <c r="M10" s="1"/>
      <c r="N10" s="1" t="s">
        <v>37</v>
      </c>
      <c r="O10" s="1"/>
      <c r="P10" s="1"/>
    </row>
    <row r="11" spans="1:16" ht="21.95" customHeight="1">
      <c r="A11" s="3">
        <v>40544</v>
      </c>
      <c r="B11" s="1" t="s">
        <v>41</v>
      </c>
      <c r="C11" s="4">
        <v>1</v>
      </c>
      <c r="D11" s="5">
        <v>547.5</v>
      </c>
      <c r="E11" s="5">
        <v>0</v>
      </c>
      <c r="F11" s="5">
        <v>547.5</v>
      </c>
      <c r="G11" s="1"/>
      <c r="H11" s="1"/>
      <c r="I11" s="3">
        <v>40513</v>
      </c>
      <c r="J11" s="4">
        <v>4</v>
      </c>
      <c r="K11" s="4">
        <v>885</v>
      </c>
      <c r="L11" s="4">
        <v>321</v>
      </c>
      <c r="M11" s="1"/>
      <c r="N11" s="1" t="s">
        <v>38</v>
      </c>
      <c r="O11" s="1"/>
      <c r="P11" s="1"/>
    </row>
    <row r="12" spans="1:16" ht="21.95" customHeight="1">
      <c r="A12" s="3">
        <v>40544</v>
      </c>
      <c r="B12" s="1" t="s">
        <v>42</v>
      </c>
      <c r="C12" s="4">
        <v>7</v>
      </c>
      <c r="D12" s="5">
        <v>21904.19</v>
      </c>
      <c r="E12" s="5">
        <v>247.67</v>
      </c>
      <c r="F12" s="5">
        <v>21656.52</v>
      </c>
      <c r="G12" s="1"/>
      <c r="H12" s="1"/>
      <c r="I12" s="3">
        <v>40513</v>
      </c>
      <c r="J12" s="4">
        <v>5</v>
      </c>
      <c r="K12" s="4">
        <v>885</v>
      </c>
      <c r="L12" s="4">
        <v>352</v>
      </c>
      <c r="M12" s="1"/>
      <c r="N12" s="1" t="s">
        <v>43</v>
      </c>
      <c r="O12" s="1"/>
      <c r="P12" s="1"/>
    </row>
    <row r="13" spans="1:16" ht="21.95" customHeight="1">
      <c r="A13" s="3">
        <v>40544</v>
      </c>
      <c r="B13" s="1" t="s">
        <v>44</v>
      </c>
      <c r="C13" s="4">
        <v>2</v>
      </c>
      <c r="D13" s="5">
        <v>889.02</v>
      </c>
      <c r="E13" s="5">
        <v>0</v>
      </c>
      <c r="F13" s="5">
        <v>889.02</v>
      </c>
      <c r="G13" s="1"/>
      <c r="H13" s="1"/>
      <c r="I13" s="3">
        <v>40544</v>
      </c>
      <c r="J13" s="4">
        <v>0</v>
      </c>
      <c r="K13" s="4">
        <v>417</v>
      </c>
      <c r="L13" s="4">
        <v>417</v>
      </c>
      <c r="M13" s="1"/>
      <c r="N13" s="1" t="s">
        <v>45</v>
      </c>
      <c r="O13" s="1"/>
      <c r="P13" s="1"/>
    </row>
    <row r="14" spans="1:16" ht="21.95" customHeight="1">
      <c r="A14" s="3">
        <v>40544</v>
      </c>
      <c r="B14" s="1" t="s">
        <v>46</v>
      </c>
      <c r="C14" s="4">
        <v>29</v>
      </c>
      <c r="D14" s="5">
        <v>17740.12</v>
      </c>
      <c r="E14" s="5">
        <v>237.05</v>
      </c>
      <c r="F14" s="5">
        <v>17503.07</v>
      </c>
      <c r="G14" s="1"/>
      <c r="H14" s="1"/>
      <c r="I14" s="3">
        <v>40544</v>
      </c>
      <c r="J14" s="4">
        <v>1</v>
      </c>
      <c r="K14" s="4">
        <v>417</v>
      </c>
      <c r="L14" s="4">
        <v>92</v>
      </c>
      <c r="M14" s="1"/>
      <c r="N14" s="1" t="s">
        <v>40</v>
      </c>
      <c r="O14" s="1"/>
      <c r="P14" s="1"/>
    </row>
    <row r="15" spans="1:16" ht="21.95" customHeight="1">
      <c r="A15" s="3">
        <v>40544</v>
      </c>
      <c r="B15" s="1" t="s">
        <v>47</v>
      </c>
      <c r="C15" s="4">
        <v>31</v>
      </c>
      <c r="D15" s="5">
        <v>16910.84</v>
      </c>
      <c r="E15" s="5">
        <v>459.41</v>
      </c>
      <c r="F15" s="5">
        <v>16451.43</v>
      </c>
      <c r="G15" s="1"/>
      <c r="H15" s="1"/>
      <c r="I15" s="3">
        <v>40544</v>
      </c>
      <c r="J15" s="4">
        <v>2</v>
      </c>
      <c r="K15" s="4">
        <v>417</v>
      </c>
      <c r="L15" s="4">
        <v>111</v>
      </c>
      <c r="M15" s="1"/>
      <c r="N15" s="1" t="s">
        <v>41</v>
      </c>
      <c r="O15" s="1"/>
      <c r="P15" s="1"/>
    </row>
    <row r="16" spans="1:16" ht="21.95" customHeight="1">
      <c r="A16" s="3">
        <v>40544</v>
      </c>
      <c r="B16" s="1" t="s">
        <v>48</v>
      </c>
      <c r="C16" s="4">
        <v>1</v>
      </c>
      <c r="D16" s="5">
        <v>2661.24</v>
      </c>
      <c r="E16" s="5">
        <v>0</v>
      </c>
      <c r="F16" s="5">
        <v>2661.24</v>
      </c>
      <c r="G16" s="1"/>
      <c r="H16" s="1"/>
      <c r="I16" s="3">
        <v>40544</v>
      </c>
      <c r="J16" s="4">
        <v>3</v>
      </c>
      <c r="K16" s="4">
        <v>417</v>
      </c>
      <c r="L16" s="4">
        <v>96</v>
      </c>
      <c r="M16" s="1"/>
      <c r="N16" s="1" t="s">
        <v>49</v>
      </c>
      <c r="O16" s="1"/>
      <c r="P16" s="1"/>
    </row>
    <row r="17" spans="1:16" ht="21.95" customHeight="1">
      <c r="A17" s="3">
        <v>40544</v>
      </c>
      <c r="B17" s="1" t="s">
        <v>50</v>
      </c>
      <c r="C17" s="4">
        <v>1</v>
      </c>
      <c r="D17" s="5">
        <v>2439.7600000000002</v>
      </c>
      <c r="E17" s="5">
        <v>0</v>
      </c>
      <c r="F17" s="5">
        <v>2439.7600000000002</v>
      </c>
      <c r="G17" s="1"/>
      <c r="H17" s="1"/>
      <c r="I17" s="3">
        <v>40544</v>
      </c>
      <c r="J17" s="4">
        <v>4</v>
      </c>
      <c r="K17" s="4">
        <v>417</v>
      </c>
      <c r="L17" s="4">
        <v>134</v>
      </c>
      <c r="M17" s="1"/>
      <c r="N17" s="1" t="s">
        <v>51</v>
      </c>
      <c r="O17" s="1"/>
      <c r="P17" s="1"/>
    </row>
    <row r="18" spans="1:16" ht="21.95" customHeight="1">
      <c r="A18" s="3">
        <v>40544</v>
      </c>
      <c r="B18" s="1" t="s">
        <v>52</v>
      </c>
      <c r="C18" s="4">
        <v>1</v>
      </c>
      <c r="D18" s="5">
        <v>475.39</v>
      </c>
      <c r="E18" s="5">
        <v>0</v>
      </c>
      <c r="F18" s="5">
        <v>475.39</v>
      </c>
      <c r="G18" s="1"/>
      <c r="H18" s="1"/>
      <c r="I18" s="3">
        <v>40544</v>
      </c>
      <c r="J18" s="4">
        <v>5</v>
      </c>
      <c r="K18" s="4">
        <v>417</v>
      </c>
      <c r="L18" s="4">
        <v>120</v>
      </c>
      <c r="M18" s="1"/>
      <c r="N18" s="1" t="s">
        <v>42</v>
      </c>
      <c r="O18" s="1"/>
      <c r="P18" s="1"/>
    </row>
    <row r="19" spans="1:16" ht="21.95" customHeight="1">
      <c r="A19" s="3">
        <v>40544</v>
      </c>
      <c r="B19" s="1" t="s">
        <v>53</v>
      </c>
      <c r="C19" s="4">
        <v>1</v>
      </c>
      <c r="D19" s="5">
        <v>379.84</v>
      </c>
      <c r="E19" s="5">
        <v>0</v>
      </c>
      <c r="F19" s="5">
        <v>379.84</v>
      </c>
      <c r="G19" s="1"/>
      <c r="H19" s="1"/>
      <c r="I19" s="3">
        <v>40575</v>
      </c>
      <c r="J19" s="4">
        <v>0</v>
      </c>
      <c r="K19" s="4">
        <v>380</v>
      </c>
      <c r="L19" s="4">
        <v>380</v>
      </c>
      <c r="M19" s="1"/>
      <c r="N19" s="1" t="s">
        <v>54</v>
      </c>
      <c r="O19" s="1"/>
      <c r="P19" s="1"/>
    </row>
    <row r="20" spans="1:16" ht="21.95" customHeight="1">
      <c r="A20" s="3">
        <v>40544</v>
      </c>
      <c r="B20" s="1" t="s">
        <v>55</v>
      </c>
      <c r="C20" s="4">
        <v>3</v>
      </c>
      <c r="D20" s="5">
        <v>2402.5100000000002</v>
      </c>
      <c r="E20" s="5">
        <v>41.15</v>
      </c>
      <c r="F20" s="5">
        <v>2361.36</v>
      </c>
      <c r="G20" s="1"/>
      <c r="H20" s="1"/>
      <c r="I20" s="3">
        <v>40575</v>
      </c>
      <c r="J20" s="4">
        <v>1</v>
      </c>
      <c r="K20" s="4">
        <v>380</v>
      </c>
      <c r="L20" s="4">
        <v>71</v>
      </c>
      <c r="M20" s="1"/>
      <c r="N20" s="1" t="s">
        <v>44</v>
      </c>
      <c r="O20" s="1"/>
      <c r="P20" s="1"/>
    </row>
    <row r="21" spans="1:16" ht="21.95" customHeight="1">
      <c r="A21" s="3">
        <v>40544</v>
      </c>
      <c r="B21" s="1" t="s">
        <v>56</v>
      </c>
      <c r="C21" s="4">
        <v>0</v>
      </c>
      <c r="D21" s="5">
        <v>0</v>
      </c>
      <c r="E21" s="5">
        <v>109.8</v>
      </c>
      <c r="F21" s="5">
        <v>-109.8</v>
      </c>
      <c r="G21" s="1"/>
      <c r="H21" s="1"/>
      <c r="I21" s="3">
        <v>40575</v>
      </c>
      <c r="J21" s="4">
        <v>2</v>
      </c>
      <c r="K21" s="4">
        <v>380</v>
      </c>
      <c r="L21" s="4">
        <v>71</v>
      </c>
      <c r="M21" s="1"/>
      <c r="N21" s="1" t="s">
        <v>46</v>
      </c>
      <c r="O21" s="1"/>
      <c r="P21" s="1"/>
    </row>
    <row r="22" spans="1:16" ht="21.95" customHeight="1">
      <c r="A22" s="3">
        <v>40544</v>
      </c>
      <c r="B22" s="1" t="s">
        <v>57</v>
      </c>
      <c r="C22" s="4">
        <v>1</v>
      </c>
      <c r="D22" s="5">
        <v>1693.88</v>
      </c>
      <c r="E22" s="5">
        <v>0</v>
      </c>
      <c r="F22" s="5">
        <v>1693.88</v>
      </c>
      <c r="G22" s="1"/>
      <c r="H22" s="1"/>
      <c r="I22" s="3">
        <v>40575</v>
      </c>
      <c r="J22" s="4">
        <v>3</v>
      </c>
      <c r="K22" s="4">
        <v>380</v>
      </c>
      <c r="L22" s="4">
        <v>108</v>
      </c>
      <c r="M22" s="1"/>
      <c r="N22" s="1" t="s">
        <v>47</v>
      </c>
      <c r="O22" s="1"/>
      <c r="P22" s="1"/>
    </row>
    <row r="23" spans="1:16" ht="21.95" customHeight="1">
      <c r="A23" s="3">
        <v>40544</v>
      </c>
      <c r="B23" s="1" t="s">
        <v>58</v>
      </c>
      <c r="C23" s="4">
        <v>5</v>
      </c>
      <c r="D23" s="5">
        <v>26611.16</v>
      </c>
      <c r="E23" s="5">
        <v>0</v>
      </c>
      <c r="F23" s="5">
        <v>26611.16</v>
      </c>
      <c r="G23" s="1"/>
      <c r="H23" s="1"/>
      <c r="I23" s="3">
        <v>40575</v>
      </c>
      <c r="J23" s="4">
        <v>4</v>
      </c>
      <c r="K23" s="4">
        <v>380</v>
      </c>
      <c r="L23" s="4">
        <v>103</v>
      </c>
      <c r="M23" s="1"/>
      <c r="N23" s="1" t="s">
        <v>48</v>
      </c>
      <c r="O23" s="1"/>
      <c r="P23" s="1"/>
    </row>
    <row r="24" spans="1:16" ht="21.95" customHeight="1">
      <c r="A24" s="3">
        <v>40544</v>
      </c>
      <c r="B24" s="1" t="s">
        <v>59</v>
      </c>
      <c r="C24" s="4">
        <v>1</v>
      </c>
      <c r="D24" s="5">
        <v>613.22</v>
      </c>
      <c r="E24" s="5">
        <v>0</v>
      </c>
      <c r="F24" s="5">
        <v>613.22</v>
      </c>
      <c r="G24" s="1"/>
      <c r="H24" s="1"/>
      <c r="I24" s="3">
        <v>40575</v>
      </c>
      <c r="J24" s="4">
        <v>5</v>
      </c>
      <c r="K24" s="4">
        <v>380</v>
      </c>
      <c r="L24" s="4">
        <v>94</v>
      </c>
      <c r="M24" s="1"/>
      <c r="N24" s="1" t="s">
        <v>50</v>
      </c>
      <c r="O24" s="1"/>
      <c r="P24" s="1"/>
    </row>
    <row r="25" spans="1:16" ht="21.95" customHeight="1">
      <c r="A25" s="3">
        <v>40544</v>
      </c>
      <c r="B25" s="1" t="s">
        <v>60</v>
      </c>
      <c r="C25" s="4">
        <v>4</v>
      </c>
      <c r="D25" s="5">
        <v>4055.71</v>
      </c>
      <c r="E25" s="5">
        <v>57.6</v>
      </c>
      <c r="F25" s="5">
        <v>3998.11</v>
      </c>
      <c r="G25" s="1"/>
      <c r="H25" s="1"/>
      <c r="I25" s="3">
        <v>40603</v>
      </c>
      <c r="J25" s="4">
        <v>0</v>
      </c>
      <c r="K25" s="4">
        <v>452</v>
      </c>
      <c r="L25" s="4">
        <v>452</v>
      </c>
      <c r="M25" s="1"/>
      <c r="N25" s="1" t="s">
        <v>52</v>
      </c>
      <c r="O25" s="1"/>
      <c r="P25" s="1"/>
    </row>
    <row r="26" spans="1:16" ht="21.95" customHeight="1">
      <c r="A26" s="3">
        <v>40544</v>
      </c>
      <c r="B26" s="1" t="s">
        <v>61</v>
      </c>
      <c r="C26" s="4">
        <v>1</v>
      </c>
      <c r="D26" s="5">
        <v>2053.0700000000002</v>
      </c>
      <c r="E26" s="5">
        <v>0</v>
      </c>
      <c r="F26" s="5">
        <v>2053.0700000000002</v>
      </c>
      <c r="G26" s="1"/>
      <c r="H26" s="1"/>
      <c r="I26" s="3">
        <v>40603</v>
      </c>
      <c r="J26" s="4">
        <v>1</v>
      </c>
      <c r="K26" s="4">
        <v>452</v>
      </c>
      <c r="L26" s="4">
        <v>68</v>
      </c>
      <c r="M26" s="1"/>
      <c r="N26" s="1" t="s">
        <v>53</v>
      </c>
      <c r="O26" s="1"/>
      <c r="P26" s="1"/>
    </row>
    <row r="27" spans="1:16" ht="21.95" customHeight="1">
      <c r="A27" s="3">
        <v>40544</v>
      </c>
      <c r="B27" s="1" t="s">
        <v>62</v>
      </c>
      <c r="C27" s="4">
        <v>8</v>
      </c>
      <c r="D27" s="5">
        <v>10086.09</v>
      </c>
      <c r="E27" s="5">
        <v>2907.55</v>
      </c>
      <c r="F27" s="5">
        <v>7178.54</v>
      </c>
      <c r="G27" s="1"/>
      <c r="H27" s="1"/>
      <c r="I27" s="3">
        <v>40603</v>
      </c>
      <c r="J27" s="4">
        <v>2</v>
      </c>
      <c r="K27" s="4">
        <v>452</v>
      </c>
      <c r="L27" s="4">
        <v>114</v>
      </c>
      <c r="M27" s="1"/>
      <c r="N27" s="1" t="s">
        <v>55</v>
      </c>
      <c r="O27" s="1"/>
      <c r="P27" s="1"/>
    </row>
    <row r="28" spans="1:16" ht="21.95" customHeight="1">
      <c r="A28" s="3">
        <v>40544</v>
      </c>
      <c r="B28" s="1" t="s">
        <v>63</v>
      </c>
      <c r="C28" s="4">
        <v>2</v>
      </c>
      <c r="D28" s="5">
        <v>3486.32</v>
      </c>
      <c r="E28" s="5">
        <v>40</v>
      </c>
      <c r="F28" s="5">
        <v>3446.32</v>
      </c>
      <c r="G28" s="1"/>
      <c r="H28" s="1"/>
      <c r="I28" s="3">
        <v>40603</v>
      </c>
      <c r="J28" s="4">
        <v>3</v>
      </c>
      <c r="K28" s="4">
        <v>452</v>
      </c>
      <c r="L28" s="4">
        <v>90</v>
      </c>
      <c r="M28" s="1"/>
      <c r="N28" s="1" t="s">
        <v>56</v>
      </c>
      <c r="O28" s="1"/>
      <c r="P28" s="1"/>
    </row>
    <row r="29" spans="1:16" ht="21.95" customHeight="1">
      <c r="A29" s="3">
        <v>40544</v>
      </c>
      <c r="B29" s="1" t="s">
        <v>64</v>
      </c>
      <c r="C29" s="4">
        <v>3</v>
      </c>
      <c r="D29" s="5">
        <v>4231.2299999999996</v>
      </c>
      <c r="E29" s="5">
        <v>0</v>
      </c>
      <c r="F29" s="5">
        <v>4231.2299999999996</v>
      </c>
      <c r="G29" s="1"/>
      <c r="H29" s="1"/>
      <c r="I29" s="3">
        <v>40603</v>
      </c>
      <c r="J29" s="4">
        <v>4</v>
      </c>
      <c r="K29" s="4">
        <v>452</v>
      </c>
      <c r="L29" s="4">
        <v>101</v>
      </c>
      <c r="M29" s="1"/>
      <c r="N29" s="1" t="s">
        <v>57</v>
      </c>
      <c r="O29" s="1"/>
      <c r="P29" s="1"/>
    </row>
    <row r="30" spans="1:16" ht="21.95" customHeight="1">
      <c r="A30" s="3">
        <v>40544</v>
      </c>
      <c r="B30" s="1" t="s">
        <v>65</v>
      </c>
      <c r="C30" s="4">
        <v>971</v>
      </c>
      <c r="D30" s="5">
        <v>561289.98</v>
      </c>
      <c r="E30" s="5">
        <v>126981.68</v>
      </c>
      <c r="F30" s="5">
        <v>434308.3</v>
      </c>
      <c r="G30" s="1"/>
      <c r="H30" s="1"/>
      <c r="I30" s="3">
        <v>40603</v>
      </c>
      <c r="J30" s="4">
        <v>5</v>
      </c>
      <c r="K30" s="4">
        <v>452</v>
      </c>
      <c r="L30" s="4">
        <v>76</v>
      </c>
      <c r="M30" s="1"/>
      <c r="N30" s="1" t="s">
        <v>66</v>
      </c>
      <c r="O30" s="1"/>
      <c r="P30" s="1"/>
    </row>
    <row r="31" spans="1:16" ht="21.95" customHeight="1">
      <c r="A31" s="3">
        <v>40575</v>
      </c>
      <c r="B31" s="1" t="s">
        <v>36</v>
      </c>
      <c r="C31" s="4">
        <v>5</v>
      </c>
      <c r="D31" s="5">
        <v>14695.42</v>
      </c>
      <c r="E31" s="5">
        <v>67.95</v>
      </c>
      <c r="F31" s="5">
        <v>14627.47</v>
      </c>
      <c r="G31" s="1"/>
      <c r="H31" s="1"/>
      <c r="I31" s="3">
        <v>40634</v>
      </c>
      <c r="J31" s="4">
        <v>0</v>
      </c>
      <c r="K31" s="4">
        <v>300</v>
      </c>
      <c r="L31" s="4">
        <v>300</v>
      </c>
      <c r="M31" s="1"/>
      <c r="N31" s="1" t="s">
        <v>58</v>
      </c>
      <c r="O31" s="1"/>
      <c r="P31" s="1"/>
    </row>
    <row r="32" spans="1:16" ht="21.95" customHeight="1">
      <c r="A32" s="3">
        <v>40575</v>
      </c>
      <c r="B32" s="1" t="s">
        <v>39</v>
      </c>
      <c r="C32" s="4">
        <v>2</v>
      </c>
      <c r="D32" s="5">
        <v>518.36</v>
      </c>
      <c r="E32" s="5">
        <v>0</v>
      </c>
      <c r="F32" s="5">
        <v>518.36</v>
      </c>
      <c r="G32" s="1"/>
      <c r="H32" s="1"/>
      <c r="I32" s="3">
        <v>40634</v>
      </c>
      <c r="J32" s="4">
        <v>1</v>
      </c>
      <c r="K32" s="4">
        <v>300</v>
      </c>
      <c r="L32" s="4">
        <v>64</v>
      </c>
      <c r="M32" s="1"/>
      <c r="N32" s="1" t="s">
        <v>67</v>
      </c>
      <c r="O32" s="1"/>
      <c r="P32" s="1"/>
    </row>
    <row r="33" spans="1:16" ht="21.95" customHeight="1">
      <c r="A33" s="3">
        <v>40575</v>
      </c>
      <c r="B33" s="1" t="s">
        <v>38</v>
      </c>
      <c r="C33" s="4">
        <v>8</v>
      </c>
      <c r="D33" s="5">
        <v>2181.0700000000002</v>
      </c>
      <c r="E33" s="5">
        <v>19.75</v>
      </c>
      <c r="F33" s="5">
        <v>2161.3200000000002</v>
      </c>
      <c r="G33" s="1"/>
      <c r="H33" s="1"/>
      <c r="I33" s="3">
        <v>40634</v>
      </c>
      <c r="J33" s="4">
        <v>2</v>
      </c>
      <c r="K33" s="4">
        <v>300</v>
      </c>
      <c r="L33" s="4">
        <v>61</v>
      </c>
      <c r="M33" s="1"/>
      <c r="N33" s="1" t="s">
        <v>59</v>
      </c>
      <c r="O33" s="1"/>
      <c r="P33" s="1"/>
    </row>
    <row r="34" spans="1:16" ht="21.95" customHeight="1">
      <c r="A34" s="3">
        <v>40575</v>
      </c>
      <c r="B34" s="1" t="s">
        <v>40</v>
      </c>
      <c r="C34" s="4">
        <v>1</v>
      </c>
      <c r="D34" s="5">
        <v>1784.71</v>
      </c>
      <c r="E34" s="5">
        <v>0</v>
      </c>
      <c r="F34" s="5">
        <v>1784.71</v>
      </c>
      <c r="G34" s="1"/>
      <c r="H34" s="1"/>
      <c r="I34" s="3">
        <v>40634</v>
      </c>
      <c r="J34" s="4">
        <v>3</v>
      </c>
      <c r="K34" s="4">
        <v>300</v>
      </c>
      <c r="L34" s="4">
        <v>63</v>
      </c>
      <c r="M34" s="1"/>
      <c r="N34" s="1" t="s">
        <v>60</v>
      </c>
      <c r="O34" s="1"/>
      <c r="P34" s="1"/>
    </row>
    <row r="35" spans="1:16" ht="21.95" customHeight="1">
      <c r="A35" s="3">
        <v>40575</v>
      </c>
      <c r="B35" s="1" t="s">
        <v>41</v>
      </c>
      <c r="C35" s="4">
        <v>6</v>
      </c>
      <c r="D35" s="5">
        <v>4334.24</v>
      </c>
      <c r="E35" s="5">
        <v>320.69</v>
      </c>
      <c r="F35" s="5">
        <v>4013.55</v>
      </c>
      <c r="G35" s="1"/>
      <c r="H35" s="1"/>
      <c r="I35" s="3">
        <v>40634</v>
      </c>
      <c r="J35" s="4">
        <v>4</v>
      </c>
      <c r="K35" s="4">
        <v>300</v>
      </c>
      <c r="L35" s="4">
        <v>59</v>
      </c>
      <c r="M35" s="1"/>
      <c r="N35" s="1" t="s">
        <v>68</v>
      </c>
      <c r="O35" s="1"/>
      <c r="P35" s="1"/>
    </row>
    <row r="36" spans="1:16" ht="21.95" customHeight="1">
      <c r="A36" s="3">
        <v>40575</v>
      </c>
      <c r="B36" s="1" t="s">
        <v>49</v>
      </c>
      <c r="C36" s="4">
        <v>1</v>
      </c>
      <c r="D36" s="5">
        <v>549.26</v>
      </c>
      <c r="E36" s="5">
        <v>0</v>
      </c>
      <c r="F36" s="5">
        <v>549.26</v>
      </c>
      <c r="G36" s="1"/>
      <c r="H36" s="1"/>
      <c r="I36" s="3">
        <v>40634</v>
      </c>
      <c r="J36" s="4">
        <v>5</v>
      </c>
      <c r="K36" s="4">
        <v>300</v>
      </c>
      <c r="L36" s="4">
        <v>68</v>
      </c>
      <c r="M36" s="1"/>
      <c r="N36" s="1" t="s">
        <v>69</v>
      </c>
      <c r="O36" s="1"/>
      <c r="P36" s="1"/>
    </row>
    <row r="37" spans="1:16" ht="21.95" customHeight="1">
      <c r="A37" s="3">
        <v>40575</v>
      </c>
      <c r="B37" s="1" t="s">
        <v>51</v>
      </c>
      <c r="C37" s="4">
        <v>1</v>
      </c>
      <c r="D37" s="5">
        <v>399.22</v>
      </c>
      <c r="E37" s="5">
        <v>0</v>
      </c>
      <c r="F37" s="5">
        <v>399.22</v>
      </c>
      <c r="G37" s="1"/>
      <c r="H37" s="1"/>
      <c r="I37" s="3">
        <v>40664</v>
      </c>
      <c r="J37" s="4">
        <v>0</v>
      </c>
      <c r="K37" s="4">
        <v>284</v>
      </c>
      <c r="L37" s="4">
        <v>284</v>
      </c>
      <c r="M37" s="1"/>
      <c r="N37" s="1" t="s">
        <v>61</v>
      </c>
      <c r="O37" s="1"/>
      <c r="P37" s="1"/>
    </row>
    <row r="38" spans="1:16" ht="21.95" customHeight="1">
      <c r="A38" s="3">
        <v>40575</v>
      </c>
      <c r="B38" s="1" t="s">
        <v>42</v>
      </c>
      <c r="C38" s="4">
        <v>13</v>
      </c>
      <c r="D38" s="5">
        <v>12248.74</v>
      </c>
      <c r="E38" s="5">
        <v>2574.6</v>
      </c>
      <c r="F38" s="5">
        <v>9674.14</v>
      </c>
      <c r="G38" s="1"/>
      <c r="H38" s="1"/>
      <c r="I38" s="3">
        <v>40664</v>
      </c>
      <c r="J38" s="4">
        <v>1</v>
      </c>
      <c r="K38" s="4">
        <v>284</v>
      </c>
      <c r="L38" s="4">
        <v>54</v>
      </c>
      <c r="M38" s="1"/>
      <c r="N38" s="1" t="s">
        <v>62</v>
      </c>
      <c r="O38" s="1"/>
      <c r="P38" s="1"/>
    </row>
    <row r="39" spans="1:16" ht="21.95" customHeight="1">
      <c r="A39" s="3">
        <v>40575</v>
      </c>
      <c r="B39" s="1" t="s">
        <v>44</v>
      </c>
      <c r="C39" s="4">
        <v>1</v>
      </c>
      <c r="D39" s="5">
        <v>205.16</v>
      </c>
      <c r="E39" s="5">
        <v>0</v>
      </c>
      <c r="F39" s="5">
        <v>205.16</v>
      </c>
      <c r="G39" s="1"/>
      <c r="H39" s="1"/>
      <c r="I39" s="3">
        <v>40664</v>
      </c>
      <c r="J39" s="4">
        <v>2</v>
      </c>
      <c r="K39" s="4">
        <v>284</v>
      </c>
      <c r="L39" s="4">
        <v>49</v>
      </c>
      <c r="M39" s="1"/>
      <c r="N39" s="1" t="s">
        <v>63</v>
      </c>
      <c r="O39" s="1"/>
      <c r="P39" s="1"/>
    </row>
    <row r="40" spans="1:16" ht="21.95" customHeight="1">
      <c r="A40" s="3">
        <v>40575</v>
      </c>
      <c r="B40" s="1" t="s">
        <v>46</v>
      </c>
      <c r="C40" s="4">
        <v>21</v>
      </c>
      <c r="D40" s="5">
        <v>8515.9599999999991</v>
      </c>
      <c r="E40" s="5">
        <v>77.05</v>
      </c>
      <c r="F40" s="5">
        <v>8438.91</v>
      </c>
      <c r="G40" s="1"/>
      <c r="H40" s="1"/>
      <c r="I40" s="3">
        <v>40664</v>
      </c>
      <c r="J40" s="4">
        <v>3</v>
      </c>
      <c r="K40" s="4">
        <v>284</v>
      </c>
      <c r="L40" s="4">
        <v>49</v>
      </c>
      <c r="M40" s="1"/>
      <c r="N40" s="1" t="s">
        <v>64</v>
      </c>
      <c r="O40" s="1"/>
      <c r="P40" s="1"/>
    </row>
    <row r="41" spans="1:16" ht="21.95" customHeight="1">
      <c r="A41" s="3">
        <v>40575</v>
      </c>
      <c r="B41" s="1" t="s">
        <v>47</v>
      </c>
      <c r="C41" s="4">
        <v>19</v>
      </c>
      <c r="D41" s="5">
        <v>9581.0499999999993</v>
      </c>
      <c r="E41" s="5">
        <v>611.80999999999995</v>
      </c>
      <c r="F41" s="5">
        <v>8969.24</v>
      </c>
      <c r="G41" s="1"/>
      <c r="H41" s="1"/>
      <c r="I41" s="3">
        <v>40664</v>
      </c>
      <c r="J41" s="4">
        <v>4</v>
      </c>
      <c r="K41" s="4">
        <v>284</v>
      </c>
      <c r="L41" s="4">
        <v>59</v>
      </c>
      <c r="M41" s="1"/>
      <c r="N41" s="1" t="s">
        <v>70</v>
      </c>
      <c r="O41" s="1"/>
      <c r="P41" s="1"/>
    </row>
    <row r="42" spans="1:16" ht="21.95" customHeight="1">
      <c r="A42" s="3">
        <v>40575</v>
      </c>
      <c r="B42" s="1" t="s">
        <v>53</v>
      </c>
      <c r="C42" s="4">
        <v>1</v>
      </c>
      <c r="D42" s="5">
        <v>779.1</v>
      </c>
      <c r="E42" s="5">
        <v>0</v>
      </c>
      <c r="F42" s="5">
        <v>779.1</v>
      </c>
      <c r="G42" s="1"/>
      <c r="H42" s="1"/>
      <c r="I42" s="3">
        <v>40664</v>
      </c>
      <c r="J42" s="4">
        <v>5</v>
      </c>
      <c r="K42" s="4">
        <v>284</v>
      </c>
      <c r="L42" s="4">
        <v>66</v>
      </c>
      <c r="M42" s="1"/>
      <c r="N42" s="1" t="s">
        <v>71</v>
      </c>
      <c r="O42" s="1"/>
      <c r="P42" s="1"/>
    </row>
    <row r="43" spans="1:16" ht="21.95" customHeight="1">
      <c r="A43" s="3">
        <v>40575</v>
      </c>
      <c r="B43" s="1" t="s">
        <v>55</v>
      </c>
      <c r="C43" s="4">
        <v>1</v>
      </c>
      <c r="D43" s="5">
        <v>256</v>
      </c>
      <c r="E43" s="5">
        <v>4.5</v>
      </c>
      <c r="F43" s="5">
        <v>251.5</v>
      </c>
      <c r="G43" s="1"/>
      <c r="H43" s="1"/>
      <c r="I43" s="3">
        <v>40695</v>
      </c>
      <c r="J43" s="4">
        <v>0</v>
      </c>
      <c r="K43" s="4">
        <v>242</v>
      </c>
      <c r="L43" s="4">
        <v>242</v>
      </c>
      <c r="M43" s="1"/>
      <c r="N43" s="1" t="s">
        <v>65</v>
      </c>
      <c r="O43" s="1"/>
      <c r="P43" s="1"/>
    </row>
    <row r="44" spans="1:16" ht="21.95" customHeight="1">
      <c r="A44" s="3">
        <v>40575</v>
      </c>
      <c r="B44" s="1" t="s">
        <v>56</v>
      </c>
      <c r="C44" s="4">
        <v>2</v>
      </c>
      <c r="D44" s="5">
        <v>5780.81</v>
      </c>
      <c r="E44" s="5">
        <v>0</v>
      </c>
      <c r="F44" s="5">
        <v>5780.81</v>
      </c>
      <c r="G44" s="1"/>
      <c r="H44" s="1"/>
      <c r="I44" s="3">
        <v>40695</v>
      </c>
      <c r="J44" s="4">
        <v>1</v>
      </c>
      <c r="K44" s="4">
        <v>242</v>
      </c>
      <c r="L44" s="4">
        <v>42</v>
      </c>
      <c r="M44" s="1"/>
      <c r="N44" s="1" t="s">
        <v>72</v>
      </c>
      <c r="O44" s="1"/>
      <c r="P44" s="1"/>
    </row>
    <row r="45" spans="1:16" ht="21.95" customHeight="1">
      <c r="A45" s="3">
        <v>40575</v>
      </c>
      <c r="B45" s="1" t="s">
        <v>58</v>
      </c>
      <c r="C45" s="4">
        <v>5</v>
      </c>
      <c r="D45" s="5">
        <v>23011.91</v>
      </c>
      <c r="E45" s="5">
        <v>79.8</v>
      </c>
      <c r="F45" s="5">
        <v>22932.11</v>
      </c>
      <c r="G45" s="1"/>
      <c r="H45" s="1"/>
      <c r="I45" s="3">
        <v>40695</v>
      </c>
      <c r="J45" s="4">
        <v>2</v>
      </c>
      <c r="K45" s="4">
        <v>242</v>
      </c>
      <c r="L45" s="4">
        <v>38</v>
      </c>
      <c r="M45" s="1"/>
      <c r="N45" s="1"/>
      <c r="O45" s="1"/>
      <c r="P45" s="1"/>
    </row>
    <row r="46" spans="1:16" ht="21.95" customHeight="1">
      <c r="A46" s="3">
        <v>40575</v>
      </c>
      <c r="B46" s="1" t="s">
        <v>67</v>
      </c>
      <c r="C46" s="4">
        <v>2</v>
      </c>
      <c r="D46" s="5">
        <v>630.9</v>
      </c>
      <c r="E46" s="5">
        <v>0</v>
      </c>
      <c r="F46" s="5">
        <v>630.9</v>
      </c>
      <c r="G46" s="1"/>
      <c r="H46" s="1"/>
      <c r="I46" s="3">
        <v>40695</v>
      </c>
      <c r="J46" s="4">
        <v>3</v>
      </c>
      <c r="K46" s="4">
        <v>242</v>
      </c>
      <c r="L46" s="4">
        <v>64</v>
      </c>
      <c r="M46" s="1"/>
      <c r="N46" s="1"/>
      <c r="O46" s="1"/>
      <c r="P46" s="1"/>
    </row>
    <row r="47" spans="1:16" ht="21.95" customHeight="1">
      <c r="A47" s="3">
        <v>40575</v>
      </c>
      <c r="B47" s="1" t="s">
        <v>59</v>
      </c>
      <c r="C47" s="4">
        <v>2</v>
      </c>
      <c r="D47" s="5">
        <v>604.04999999999995</v>
      </c>
      <c r="E47" s="5">
        <v>0</v>
      </c>
      <c r="F47" s="5">
        <v>604.04999999999995</v>
      </c>
      <c r="G47" s="1"/>
      <c r="H47" s="1"/>
      <c r="I47" s="3">
        <v>40695</v>
      </c>
      <c r="J47" s="4">
        <v>4</v>
      </c>
      <c r="K47" s="4">
        <v>242</v>
      </c>
      <c r="L47" s="4">
        <v>56</v>
      </c>
      <c r="M47" s="1"/>
      <c r="N47" s="1"/>
      <c r="O47" s="1"/>
      <c r="P47" s="1"/>
    </row>
    <row r="48" spans="1:16" ht="21.95" customHeight="1">
      <c r="A48" s="3">
        <v>40575</v>
      </c>
      <c r="B48" s="1" t="s">
        <v>60</v>
      </c>
      <c r="C48" s="4">
        <v>2</v>
      </c>
      <c r="D48" s="5">
        <v>1213.9000000000001</v>
      </c>
      <c r="E48" s="5">
        <v>0</v>
      </c>
      <c r="F48" s="5">
        <v>1213.9000000000001</v>
      </c>
      <c r="G48" s="1"/>
      <c r="H48" s="1"/>
      <c r="I48" s="3">
        <v>40695</v>
      </c>
      <c r="J48" s="4">
        <v>5</v>
      </c>
      <c r="K48" s="4">
        <v>242</v>
      </c>
      <c r="L48" s="4">
        <v>81</v>
      </c>
      <c r="M48" s="1"/>
      <c r="N48" s="1"/>
      <c r="O48" s="1"/>
      <c r="P48" s="1"/>
    </row>
    <row r="49" spans="1:16" ht="21.95" customHeight="1">
      <c r="A49" s="3">
        <v>40575</v>
      </c>
      <c r="B49" s="1" t="s">
        <v>69</v>
      </c>
      <c r="C49" s="4">
        <v>1</v>
      </c>
      <c r="D49" s="5">
        <v>145.91999999999999</v>
      </c>
      <c r="E49" s="5">
        <v>0</v>
      </c>
      <c r="F49" s="5">
        <v>145.91999999999999</v>
      </c>
      <c r="G49" s="1"/>
      <c r="H49" s="1"/>
      <c r="I49" s="3">
        <v>40725</v>
      </c>
      <c r="J49" s="4">
        <v>0</v>
      </c>
      <c r="K49" s="4">
        <v>188</v>
      </c>
      <c r="L49" s="4">
        <v>188</v>
      </c>
      <c r="M49" s="1"/>
      <c r="N49" s="1"/>
      <c r="O49" s="1"/>
      <c r="P49" s="1"/>
    </row>
    <row r="50" spans="1:16" ht="21.95" customHeight="1">
      <c r="A50" s="3">
        <v>40575</v>
      </c>
      <c r="B50" s="1" t="s">
        <v>62</v>
      </c>
      <c r="C50" s="4">
        <v>4</v>
      </c>
      <c r="D50" s="5">
        <v>2114.5</v>
      </c>
      <c r="E50" s="5">
        <v>20.8</v>
      </c>
      <c r="F50" s="5">
        <v>2093.6999999999998</v>
      </c>
      <c r="G50" s="1"/>
      <c r="H50" s="1"/>
      <c r="I50" s="3">
        <v>40725</v>
      </c>
      <c r="J50" s="4">
        <v>1</v>
      </c>
      <c r="K50" s="4">
        <v>188</v>
      </c>
      <c r="L50" s="4">
        <v>34</v>
      </c>
      <c r="M50" s="1"/>
      <c r="N50" s="1"/>
      <c r="O50" s="1"/>
      <c r="P50" s="1"/>
    </row>
    <row r="51" spans="1:16" ht="21.95" customHeight="1">
      <c r="A51" s="3">
        <v>40575</v>
      </c>
      <c r="B51" s="1" t="s">
        <v>63</v>
      </c>
      <c r="C51" s="4">
        <v>1</v>
      </c>
      <c r="D51" s="5">
        <v>509.5</v>
      </c>
      <c r="E51" s="5">
        <v>0</v>
      </c>
      <c r="F51" s="5">
        <v>509.5</v>
      </c>
      <c r="G51" s="1"/>
      <c r="H51" s="1"/>
      <c r="I51" s="3">
        <v>40725</v>
      </c>
      <c r="J51" s="4">
        <v>2</v>
      </c>
      <c r="K51" s="4">
        <v>188</v>
      </c>
      <c r="L51" s="4">
        <v>39</v>
      </c>
      <c r="M51" s="1"/>
      <c r="N51" s="1"/>
      <c r="O51" s="1"/>
      <c r="P51" s="1"/>
    </row>
    <row r="52" spans="1:16" ht="21.95" customHeight="1">
      <c r="A52" s="3">
        <v>40575</v>
      </c>
      <c r="B52" s="1" t="s">
        <v>64</v>
      </c>
      <c r="C52" s="4">
        <v>5</v>
      </c>
      <c r="D52" s="5">
        <v>2654.92</v>
      </c>
      <c r="E52" s="5">
        <v>12.25</v>
      </c>
      <c r="F52" s="5">
        <v>2642.67</v>
      </c>
      <c r="G52" s="1"/>
      <c r="H52" s="1"/>
      <c r="I52" s="3">
        <v>40725</v>
      </c>
      <c r="J52" s="4">
        <v>3</v>
      </c>
      <c r="K52" s="4">
        <v>188</v>
      </c>
      <c r="L52" s="4">
        <v>42</v>
      </c>
      <c r="M52" s="1"/>
      <c r="N52" s="1"/>
      <c r="O52" s="1"/>
      <c r="P52" s="1"/>
    </row>
    <row r="53" spans="1:16" ht="21.95" customHeight="1">
      <c r="A53" s="3">
        <v>40575</v>
      </c>
      <c r="B53" s="1" t="s">
        <v>71</v>
      </c>
      <c r="C53" s="4">
        <v>1</v>
      </c>
      <c r="D53" s="5">
        <v>889.24</v>
      </c>
      <c r="E53" s="5">
        <v>0</v>
      </c>
      <c r="F53" s="5">
        <v>889.24</v>
      </c>
      <c r="G53" s="1"/>
      <c r="H53" s="1"/>
      <c r="I53" s="3">
        <v>40725</v>
      </c>
      <c r="J53" s="4">
        <v>4</v>
      </c>
      <c r="K53" s="4">
        <v>188</v>
      </c>
      <c r="L53" s="4">
        <v>51</v>
      </c>
      <c r="M53" s="1"/>
      <c r="N53" s="1"/>
      <c r="O53" s="1"/>
      <c r="P53" s="1"/>
    </row>
    <row r="54" spans="1:16" ht="21.95" customHeight="1">
      <c r="A54" s="3">
        <v>40575</v>
      </c>
      <c r="B54" s="1" t="s">
        <v>65</v>
      </c>
      <c r="C54" s="4">
        <v>995</v>
      </c>
      <c r="D54" s="5">
        <v>430027.95</v>
      </c>
      <c r="E54" s="5">
        <v>21780.04</v>
      </c>
      <c r="F54" s="5">
        <v>408247.91</v>
      </c>
      <c r="G54" s="1"/>
      <c r="H54" s="1"/>
      <c r="I54" s="3">
        <v>40725</v>
      </c>
      <c r="J54" s="4">
        <v>5</v>
      </c>
      <c r="K54" s="4">
        <v>188</v>
      </c>
      <c r="L54" s="4"/>
      <c r="M54" s="1"/>
      <c r="N54" s="1"/>
      <c r="O54" s="1"/>
      <c r="P54" s="1"/>
    </row>
    <row r="55" spans="1:16" ht="21.95" customHeight="1">
      <c r="A55" s="3">
        <v>40603</v>
      </c>
      <c r="B55" s="1" t="s">
        <v>36</v>
      </c>
      <c r="C55" s="4">
        <v>3</v>
      </c>
      <c r="D55" s="5">
        <v>17223.990000000002</v>
      </c>
      <c r="E55" s="5">
        <v>168.7</v>
      </c>
      <c r="F55" s="5">
        <v>17055.29</v>
      </c>
      <c r="G55" s="1"/>
      <c r="H55" s="1"/>
      <c r="I55" s="3">
        <v>40756</v>
      </c>
      <c r="J55" s="4">
        <v>0</v>
      </c>
      <c r="K55" s="4">
        <v>169</v>
      </c>
      <c r="L55" s="4">
        <v>169</v>
      </c>
      <c r="M55" s="1"/>
      <c r="N55" s="1"/>
      <c r="O55" s="1"/>
      <c r="P55" s="1"/>
    </row>
    <row r="56" spans="1:16" ht="21.95" customHeight="1">
      <c r="A56" s="3">
        <v>40603</v>
      </c>
      <c r="B56" s="1" t="s">
        <v>39</v>
      </c>
      <c r="C56" s="4">
        <v>2</v>
      </c>
      <c r="D56" s="5">
        <v>1708.12</v>
      </c>
      <c r="E56" s="5">
        <v>0</v>
      </c>
      <c r="F56" s="5">
        <v>1708.12</v>
      </c>
      <c r="G56" s="1"/>
      <c r="H56" s="1"/>
      <c r="I56" s="3">
        <v>40756</v>
      </c>
      <c r="J56" s="4">
        <v>1</v>
      </c>
      <c r="K56" s="4">
        <v>169</v>
      </c>
      <c r="L56" s="4">
        <v>35</v>
      </c>
      <c r="M56" s="1"/>
      <c r="N56" s="1"/>
      <c r="O56" s="1"/>
      <c r="P56" s="1"/>
    </row>
    <row r="57" spans="1:16" ht="21.95" customHeight="1">
      <c r="A57" s="3">
        <v>40603</v>
      </c>
      <c r="B57" s="1" t="s">
        <v>38</v>
      </c>
      <c r="C57" s="4">
        <v>9</v>
      </c>
      <c r="D57" s="5">
        <v>3351.98</v>
      </c>
      <c r="E57" s="5">
        <v>18.399999999999999</v>
      </c>
      <c r="F57" s="5">
        <v>3333.58</v>
      </c>
      <c r="G57" s="1"/>
      <c r="H57" s="1"/>
      <c r="I57" s="3">
        <v>40756</v>
      </c>
      <c r="J57" s="4">
        <v>2</v>
      </c>
      <c r="K57" s="4">
        <v>169</v>
      </c>
      <c r="L57" s="4">
        <v>42</v>
      </c>
      <c r="M57" s="1"/>
      <c r="N57" s="1"/>
      <c r="O57" s="1"/>
      <c r="P57" s="1"/>
    </row>
    <row r="58" spans="1:16" ht="21.95" customHeight="1">
      <c r="A58" s="3">
        <v>40603</v>
      </c>
      <c r="B58" s="1" t="s">
        <v>45</v>
      </c>
      <c r="C58" s="4">
        <v>1</v>
      </c>
      <c r="D58" s="5">
        <v>140.54</v>
      </c>
      <c r="E58" s="5">
        <v>0</v>
      </c>
      <c r="F58" s="5">
        <v>140.54</v>
      </c>
      <c r="G58" s="1"/>
      <c r="H58" s="1"/>
      <c r="I58" s="3">
        <v>40756</v>
      </c>
      <c r="J58" s="4">
        <v>3</v>
      </c>
      <c r="K58" s="4">
        <v>169</v>
      </c>
      <c r="L58" s="4">
        <v>41</v>
      </c>
      <c r="M58" s="1"/>
      <c r="N58" s="1"/>
      <c r="O58" s="1"/>
      <c r="P58" s="1"/>
    </row>
    <row r="59" spans="1:16" ht="21.95" customHeight="1">
      <c r="A59" s="3">
        <v>40603</v>
      </c>
      <c r="B59" s="1" t="s">
        <v>40</v>
      </c>
      <c r="C59" s="4">
        <v>3</v>
      </c>
      <c r="D59" s="5">
        <v>3509.33</v>
      </c>
      <c r="E59" s="5">
        <v>0</v>
      </c>
      <c r="F59" s="5">
        <v>3509.33</v>
      </c>
      <c r="G59" s="1"/>
      <c r="H59" s="1"/>
      <c r="I59" s="3">
        <v>40756</v>
      </c>
      <c r="J59" s="4">
        <v>4</v>
      </c>
      <c r="K59" s="4">
        <v>169</v>
      </c>
      <c r="L59" s="4"/>
      <c r="M59" s="1"/>
      <c r="N59" s="1"/>
      <c r="O59" s="1"/>
      <c r="P59" s="1"/>
    </row>
    <row r="60" spans="1:16" ht="21.95" customHeight="1">
      <c r="A60" s="3">
        <v>40603</v>
      </c>
      <c r="B60" s="1" t="s">
        <v>41</v>
      </c>
      <c r="C60" s="4">
        <v>1</v>
      </c>
      <c r="D60" s="5">
        <v>938.39</v>
      </c>
      <c r="E60" s="5">
        <v>0</v>
      </c>
      <c r="F60" s="5">
        <v>938.39</v>
      </c>
      <c r="G60" s="1"/>
      <c r="H60" s="1"/>
      <c r="I60" s="3">
        <v>40756</v>
      </c>
      <c r="J60" s="4">
        <v>5</v>
      </c>
      <c r="K60" s="4">
        <v>169</v>
      </c>
      <c r="L60" s="4"/>
      <c r="M60" s="1"/>
      <c r="N60" s="1"/>
      <c r="O60" s="1"/>
      <c r="P60" s="1"/>
    </row>
    <row r="61" spans="1:16" ht="21.95" customHeight="1">
      <c r="A61" s="3">
        <v>40603</v>
      </c>
      <c r="B61" s="1" t="s">
        <v>51</v>
      </c>
      <c r="C61" s="4">
        <v>1</v>
      </c>
      <c r="D61" s="5">
        <v>3978.99</v>
      </c>
      <c r="E61" s="5">
        <v>0</v>
      </c>
      <c r="F61" s="5">
        <v>3978.99</v>
      </c>
      <c r="G61" s="1"/>
      <c r="H61" s="1"/>
      <c r="I61" s="3">
        <v>40787</v>
      </c>
      <c r="J61" s="4">
        <v>0</v>
      </c>
      <c r="K61" s="4">
        <v>299</v>
      </c>
      <c r="L61" s="4">
        <v>299</v>
      </c>
      <c r="M61" s="1"/>
      <c r="N61" s="1"/>
      <c r="O61" s="1"/>
      <c r="P61" s="1"/>
    </row>
    <row r="62" spans="1:16" ht="21.95" customHeight="1">
      <c r="A62" s="3">
        <v>40603</v>
      </c>
      <c r="B62" s="1" t="s">
        <v>42</v>
      </c>
      <c r="C62" s="4">
        <v>23</v>
      </c>
      <c r="D62" s="5">
        <v>22197.51</v>
      </c>
      <c r="E62" s="5">
        <v>3414.28</v>
      </c>
      <c r="F62" s="5">
        <v>18783.23</v>
      </c>
      <c r="G62" s="1"/>
      <c r="H62" s="1"/>
      <c r="I62" s="3">
        <v>40787</v>
      </c>
      <c r="J62" s="4">
        <v>1</v>
      </c>
      <c r="K62" s="4">
        <v>299</v>
      </c>
      <c r="L62" s="4">
        <v>70</v>
      </c>
      <c r="M62" s="1"/>
      <c r="N62" s="1"/>
      <c r="O62" s="1"/>
      <c r="P62" s="1"/>
    </row>
    <row r="63" spans="1:16" ht="21.95" customHeight="1">
      <c r="A63" s="3">
        <v>40603</v>
      </c>
      <c r="B63" s="1" t="s">
        <v>44</v>
      </c>
      <c r="C63" s="4">
        <v>5</v>
      </c>
      <c r="D63" s="5">
        <v>5936.82</v>
      </c>
      <c r="E63" s="5">
        <v>12.2</v>
      </c>
      <c r="F63" s="5">
        <v>5924.62</v>
      </c>
      <c r="G63" s="1"/>
      <c r="H63" s="1"/>
      <c r="I63" s="3">
        <v>40787</v>
      </c>
      <c r="J63" s="4">
        <v>2</v>
      </c>
      <c r="K63" s="4">
        <v>299</v>
      </c>
      <c r="L63" s="4">
        <v>90</v>
      </c>
      <c r="M63" s="1"/>
      <c r="N63" s="1"/>
      <c r="O63" s="1"/>
      <c r="P63" s="1"/>
    </row>
    <row r="64" spans="1:16" ht="21.95" customHeight="1">
      <c r="A64" s="3">
        <v>40603</v>
      </c>
      <c r="B64" s="1" t="s">
        <v>46</v>
      </c>
      <c r="C64" s="4">
        <v>25</v>
      </c>
      <c r="D64" s="5">
        <v>14589.55</v>
      </c>
      <c r="E64" s="5">
        <v>72.650000000000006</v>
      </c>
      <c r="F64" s="5">
        <v>14516.9</v>
      </c>
      <c r="G64" s="1"/>
      <c r="H64" s="1"/>
      <c r="I64" s="3">
        <v>40787</v>
      </c>
      <c r="J64" s="4">
        <v>3</v>
      </c>
      <c r="K64" s="4">
        <v>299</v>
      </c>
      <c r="L64" s="4"/>
      <c r="M64" s="1"/>
      <c r="N64" s="1"/>
      <c r="O64" s="1"/>
      <c r="P64" s="1"/>
    </row>
    <row r="65" spans="1:16" ht="21.95" customHeight="1">
      <c r="A65" s="3">
        <v>40603</v>
      </c>
      <c r="B65" s="1" t="s">
        <v>47</v>
      </c>
      <c r="C65" s="4">
        <v>32</v>
      </c>
      <c r="D65" s="5">
        <v>14392.69</v>
      </c>
      <c r="E65" s="5">
        <v>222.67</v>
      </c>
      <c r="F65" s="5">
        <v>14170.02</v>
      </c>
      <c r="G65" s="1"/>
      <c r="H65" s="1"/>
      <c r="I65" s="3">
        <v>40787</v>
      </c>
      <c r="J65" s="4">
        <v>4</v>
      </c>
      <c r="K65" s="4">
        <v>299</v>
      </c>
      <c r="L65" s="4"/>
      <c r="M65" s="1"/>
      <c r="N65" s="1"/>
      <c r="O65" s="1"/>
      <c r="P65" s="1"/>
    </row>
    <row r="66" spans="1:16" ht="21.95" customHeight="1">
      <c r="A66" s="3">
        <v>40603</v>
      </c>
      <c r="B66" s="1" t="s">
        <v>48</v>
      </c>
      <c r="C66" s="4">
        <v>1</v>
      </c>
      <c r="D66" s="5">
        <v>387.31</v>
      </c>
      <c r="E66" s="5">
        <v>0</v>
      </c>
      <c r="F66" s="5">
        <v>387.31</v>
      </c>
      <c r="G66" s="1"/>
      <c r="H66" s="1"/>
      <c r="I66" s="3">
        <v>40787</v>
      </c>
      <c r="J66" s="4">
        <v>5</v>
      </c>
      <c r="K66" s="4">
        <v>299</v>
      </c>
      <c r="L66" s="4"/>
      <c r="M66" s="1"/>
      <c r="N66" s="1"/>
      <c r="O66" s="1"/>
      <c r="P66" s="1"/>
    </row>
    <row r="67" spans="1:16" ht="21.95" customHeight="1">
      <c r="A67" s="3">
        <v>40603</v>
      </c>
      <c r="B67" s="1" t="s">
        <v>50</v>
      </c>
      <c r="C67" s="4">
        <v>1</v>
      </c>
      <c r="D67" s="5">
        <v>2583.7600000000002</v>
      </c>
      <c r="E67" s="5">
        <v>2583.7600000000002</v>
      </c>
      <c r="F67" s="5">
        <v>0</v>
      </c>
      <c r="G67" s="1"/>
      <c r="H67" s="1"/>
      <c r="I67" s="3">
        <v>40817</v>
      </c>
      <c r="J67" s="4">
        <v>0</v>
      </c>
      <c r="K67" s="4">
        <v>358</v>
      </c>
      <c r="L67" s="4">
        <v>358</v>
      </c>
      <c r="M67" s="1"/>
      <c r="N67" s="1"/>
      <c r="O67" s="1"/>
      <c r="P67" s="1"/>
    </row>
    <row r="68" spans="1:16" ht="21.95" customHeight="1">
      <c r="A68" s="3">
        <v>40603</v>
      </c>
      <c r="B68" s="1" t="s">
        <v>55</v>
      </c>
      <c r="C68" s="4">
        <v>4</v>
      </c>
      <c r="D68" s="5">
        <v>1806.81</v>
      </c>
      <c r="E68" s="5">
        <v>27.9</v>
      </c>
      <c r="F68" s="5">
        <v>1778.91</v>
      </c>
      <c r="G68" s="1"/>
      <c r="H68" s="1"/>
      <c r="I68" s="3">
        <v>40817</v>
      </c>
      <c r="J68" s="4">
        <v>1</v>
      </c>
      <c r="K68" s="4">
        <v>358</v>
      </c>
      <c r="L68" s="4">
        <v>86</v>
      </c>
      <c r="M68" s="1"/>
      <c r="N68" s="1"/>
      <c r="O68" s="1"/>
      <c r="P68" s="1"/>
    </row>
    <row r="69" spans="1:16" ht="21.95" customHeight="1">
      <c r="A69" s="3">
        <v>40603</v>
      </c>
      <c r="B69" s="1" t="s">
        <v>56</v>
      </c>
      <c r="C69" s="4">
        <v>3</v>
      </c>
      <c r="D69" s="5">
        <v>48.9</v>
      </c>
      <c r="E69" s="5">
        <v>122.56</v>
      </c>
      <c r="F69" s="5">
        <v>-73.66</v>
      </c>
      <c r="G69" s="1"/>
      <c r="H69" s="1"/>
      <c r="I69" s="3">
        <v>40817</v>
      </c>
      <c r="J69" s="4">
        <v>2</v>
      </c>
      <c r="K69" s="4">
        <v>358</v>
      </c>
      <c r="L69" s="4"/>
      <c r="M69" s="1"/>
      <c r="N69" s="1"/>
      <c r="O69" s="1"/>
      <c r="P69" s="1"/>
    </row>
    <row r="70" spans="1:16" ht="21.95" customHeight="1">
      <c r="A70" s="3">
        <v>40603</v>
      </c>
      <c r="B70" s="1" t="s">
        <v>58</v>
      </c>
      <c r="C70" s="4">
        <v>8</v>
      </c>
      <c r="D70" s="5">
        <v>22416.49</v>
      </c>
      <c r="E70" s="5">
        <v>0</v>
      </c>
      <c r="F70" s="5">
        <v>22416.49</v>
      </c>
      <c r="G70" s="1"/>
      <c r="H70" s="1"/>
      <c r="I70" s="3">
        <v>40817</v>
      </c>
      <c r="J70" s="4">
        <v>3</v>
      </c>
      <c r="K70" s="4">
        <v>358</v>
      </c>
      <c r="L70" s="4"/>
      <c r="M70" s="1"/>
      <c r="N70" s="1"/>
      <c r="O70" s="1"/>
      <c r="P70" s="1"/>
    </row>
    <row r="71" spans="1:16" ht="21.95" customHeight="1">
      <c r="A71" s="3">
        <v>40603</v>
      </c>
      <c r="B71" s="1" t="s">
        <v>67</v>
      </c>
      <c r="C71" s="4">
        <v>4</v>
      </c>
      <c r="D71" s="5">
        <v>1265.31</v>
      </c>
      <c r="E71" s="5">
        <v>960.63</v>
      </c>
      <c r="F71" s="5">
        <v>304.68</v>
      </c>
      <c r="G71" s="1"/>
      <c r="H71" s="1"/>
      <c r="I71" s="3">
        <v>40817</v>
      </c>
      <c r="J71" s="4">
        <v>4</v>
      </c>
      <c r="K71" s="4">
        <v>358</v>
      </c>
      <c r="L71" s="4"/>
      <c r="M71" s="1"/>
      <c r="N71" s="1"/>
      <c r="O71" s="1"/>
      <c r="P71" s="1"/>
    </row>
    <row r="72" spans="1:16" ht="21.95" customHeight="1">
      <c r="A72" s="3">
        <v>40603</v>
      </c>
      <c r="B72" s="1" t="s">
        <v>59</v>
      </c>
      <c r="C72" s="4">
        <v>1</v>
      </c>
      <c r="D72" s="5">
        <v>317.77999999999997</v>
      </c>
      <c r="E72" s="5">
        <v>14.39</v>
      </c>
      <c r="F72" s="5">
        <v>303.39</v>
      </c>
      <c r="G72" s="1"/>
      <c r="H72" s="1"/>
      <c r="I72" s="3">
        <v>40817</v>
      </c>
      <c r="J72" s="4">
        <v>5</v>
      </c>
      <c r="K72" s="4">
        <v>358</v>
      </c>
      <c r="L72" s="4"/>
      <c r="M72" s="1"/>
      <c r="N72" s="1"/>
      <c r="O72" s="1"/>
      <c r="P72" s="1"/>
    </row>
    <row r="73" spans="1:16" ht="21.95" customHeight="1">
      <c r="A73" s="3">
        <v>40603</v>
      </c>
      <c r="B73" s="1" t="s">
        <v>60</v>
      </c>
      <c r="C73" s="4">
        <v>5</v>
      </c>
      <c r="D73" s="5">
        <v>2660.85</v>
      </c>
      <c r="E73" s="5">
        <v>0</v>
      </c>
      <c r="F73" s="5">
        <v>2660.85</v>
      </c>
      <c r="G73" s="1"/>
      <c r="H73" s="1"/>
      <c r="I73" s="3">
        <v>40848</v>
      </c>
      <c r="J73" s="4">
        <v>0</v>
      </c>
      <c r="K73" s="4">
        <v>323</v>
      </c>
      <c r="L73" s="4">
        <v>323</v>
      </c>
      <c r="M73" s="1"/>
      <c r="N73" s="1"/>
      <c r="O73" s="1"/>
      <c r="P73" s="1"/>
    </row>
    <row r="74" spans="1:16" ht="21.95" customHeight="1">
      <c r="A74" s="3">
        <v>40603</v>
      </c>
      <c r="B74" s="1" t="s">
        <v>69</v>
      </c>
      <c r="C74" s="4">
        <v>0</v>
      </c>
      <c r="D74" s="5">
        <v>0</v>
      </c>
      <c r="E74" s="5">
        <v>14.75</v>
      </c>
      <c r="F74" s="5">
        <v>-14.75</v>
      </c>
      <c r="G74" s="1"/>
      <c r="H74" s="1"/>
      <c r="I74" s="3">
        <v>40848</v>
      </c>
      <c r="J74" s="4">
        <v>1</v>
      </c>
      <c r="K74" s="4">
        <v>323</v>
      </c>
      <c r="L74" s="4"/>
      <c r="M74" s="1"/>
      <c r="N74" s="1"/>
      <c r="O74" s="1"/>
      <c r="P74" s="1"/>
    </row>
    <row r="75" spans="1:16" ht="21.95" customHeight="1">
      <c r="A75" s="3">
        <v>40603</v>
      </c>
      <c r="B75" s="1" t="s">
        <v>62</v>
      </c>
      <c r="C75" s="4">
        <v>8</v>
      </c>
      <c r="D75" s="5">
        <v>5363.15</v>
      </c>
      <c r="E75" s="5">
        <v>36.5</v>
      </c>
      <c r="F75" s="5">
        <v>5326.65</v>
      </c>
      <c r="G75" s="1"/>
      <c r="H75" s="1"/>
      <c r="I75" s="3">
        <v>40848</v>
      </c>
      <c r="J75" s="4">
        <v>2</v>
      </c>
      <c r="K75" s="4">
        <v>323</v>
      </c>
      <c r="L75" s="4"/>
      <c r="M75" s="1"/>
      <c r="N75" s="1"/>
      <c r="O75" s="1"/>
      <c r="P75" s="1"/>
    </row>
    <row r="76" spans="1:16" ht="21.95" customHeight="1">
      <c r="A76" s="3">
        <v>40603</v>
      </c>
      <c r="B76" s="1" t="s">
        <v>63</v>
      </c>
      <c r="C76" s="4">
        <v>3</v>
      </c>
      <c r="D76" s="5">
        <v>4720.58</v>
      </c>
      <c r="E76" s="5">
        <v>180</v>
      </c>
      <c r="F76" s="5">
        <v>4540.58</v>
      </c>
      <c r="G76" s="1"/>
      <c r="H76" s="1"/>
      <c r="I76" s="3">
        <v>40848</v>
      </c>
      <c r="J76" s="4">
        <v>3</v>
      </c>
      <c r="K76" s="4">
        <v>323</v>
      </c>
      <c r="L76" s="4"/>
      <c r="M76" s="1"/>
      <c r="N76" s="1"/>
      <c r="O76" s="1"/>
      <c r="P76" s="1"/>
    </row>
    <row r="77" spans="1:16" ht="21.95" customHeight="1">
      <c r="A77" s="3">
        <v>40603</v>
      </c>
      <c r="B77" s="1" t="s">
        <v>64</v>
      </c>
      <c r="C77" s="4">
        <v>3</v>
      </c>
      <c r="D77" s="5">
        <v>1870.23</v>
      </c>
      <c r="E77" s="5">
        <v>0</v>
      </c>
      <c r="F77" s="5">
        <v>1870.23</v>
      </c>
      <c r="G77" s="1"/>
      <c r="H77" s="1"/>
      <c r="I77" s="3">
        <v>40848</v>
      </c>
      <c r="J77" s="4">
        <v>4</v>
      </c>
      <c r="K77" s="4">
        <v>323</v>
      </c>
      <c r="L77" s="4"/>
      <c r="M77" s="1"/>
      <c r="N77" s="1"/>
      <c r="O77" s="1"/>
      <c r="P77" s="1"/>
    </row>
    <row r="78" spans="1:16" ht="21.95" customHeight="1">
      <c r="A78" s="3">
        <v>40603</v>
      </c>
      <c r="B78" s="1" t="s">
        <v>65</v>
      </c>
      <c r="C78" s="4">
        <v>1308</v>
      </c>
      <c r="D78" s="5">
        <v>586230.28</v>
      </c>
      <c r="E78" s="5">
        <v>26522.89</v>
      </c>
      <c r="F78" s="5">
        <v>559707.39</v>
      </c>
      <c r="G78" s="1"/>
      <c r="H78" s="1"/>
      <c r="I78" s="3">
        <v>40848</v>
      </c>
      <c r="J78" s="4">
        <v>5</v>
      </c>
      <c r="K78" s="4">
        <v>323</v>
      </c>
      <c r="L78" s="4"/>
      <c r="M78" s="1"/>
      <c r="N78" s="1"/>
      <c r="O78" s="1"/>
      <c r="P78" s="1"/>
    </row>
    <row r="79" spans="1:16" ht="21.95" customHeight="1">
      <c r="A79" s="3">
        <v>40634</v>
      </c>
      <c r="B79" s="1" t="s">
        <v>36</v>
      </c>
      <c r="C79" s="4">
        <v>2</v>
      </c>
      <c r="D79" s="5">
        <v>771.6</v>
      </c>
      <c r="E79" s="5">
        <v>438.2</v>
      </c>
      <c r="F79" s="5">
        <v>333.4</v>
      </c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21.95" customHeight="1">
      <c r="A80" s="3">
        <v>40634</v>
      </c>
      <c r="B80" s="1" t="s">
        <v>39</v>
      </c>
      <c r="C80" s="4">
        <v>2</v>
      </c>
      <c r="D80" s="5">
        <v>680.78</v>
      </c>
      <c r="E80" s="5">
        <v>0</v>
      </c>
      <c r="F80" s="5">
        <v>680.78</v>
      </c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21.95" customHeight="1">
      <c r="A81" s="3">
        <v>40634</v>
      </c>
      <c r="B81" s="1" t="s">
        <v>38</v>
      </c>
      <c r="C81" s="4">
        <v>6</v>
      </c>
      <c r="D81" s="5">
        <v>1989.48</v>
      </c>
      <c r="E81" s="5">
        <v>35.33</v>
      </c>
      <c r="F81" s="5">
        <v>1954.15</v>
      </c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21.95" customHeight="1">
      <c r="A82" s="3">
        <v>40634</v>
      </c>
      <c r="B82" s="1" t="s">
        <v>43</v>
      </c>
      <c r="C82" s="4">
        <v>1</v>
      </c>
      <c r="D82" s="5">
        <v>1143.5999999999999</v>
      </c>
      <c r="E82" s="5">
        <v>0</v>
      </c>
      <c r="F82" s="5">
        <v>1143.5999999999999</v>
      </c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21.95" customHeight="1">
      <c r="A83" s="3">
        <v>40634</v>
      </c>
      <c r="B83" s="1" t="s">
        <v>40</v>
      </c>
      <c r="C83" s="4">
        <v>1</v>
      </c>
      <c r="D83" s="5">
        <v>293</v>
      </c>
      <c r="E83" s="5">
        <v>0</v>
      </c>
      <c r="F83" s="5">
        <v>293</v>
      </c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21.95" customHeight="1">
      <c r="A84" s="3">
        <v>40634</v>
      </c>
      <c r="B84" s="1" t="s">
        <v>41</v>
      </c>
      <c r="C84" s="4">
        <v>0</v>
      </c>
      <c r="D84" s="5">
        <v>0</v>
      </c>
      <c r="E84" s="5">
        <v>35.799999999999997</v>
      </c>
      <c r="F84" s="5">
        <v>-35.799999999999997</v>
      </c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21.95" customHeight="1">
      <c r="A85" s="3">
        <v>40634</v>
      </c>
      <c r="B85" s="1" t="s">
        <v>49</v>
      </c>
      <c r="C85" s="4">
        <v>0</v>
      </c>
      <c r="D85" s="5">
        <v>0</v>
      </c>
      <c r="E85" s="5">
        <v>57.51</v>
      </c>
      <c r="F85" s="5">
        <v>-57.51</v>
      </c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21.95" customHeight="1">
      <c r="A86" s="3">
        <v>40634</v>
      </c>
      <c r="B86" s="1" t="s">
        <v>42</v>
      </c>
      <c r="C86" s="4">
        <v>11</v>
      </c>
      <c r="D86" s="5">
        <v>7570.5</v>
      </c>
      <c r="E86" s="5">
        <v>0</v>
      </c>
      <c r="F86" s="5">
        <v>7570.5</v>
      </c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21.95" customHeight="1">
      <c r="A87" s="3">
        <v>40634</v>
      </c>
      <c r="B87" s="1" t="s">
        <v>54</v>
      </c>
      <c r="C87" s="4">
        <v>1</v>
      </c>
      <c r="D87" s="5">
        <v>191.4</v>
      </c>
      <c r="E87" s="5">
        <v>0</v>
      </c>
      <c r="F87" s="5">
        <v>191.4</v>
      </c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21.95" customHeight="1">
      <c r="A88" s="3">
        <v>40634</v>
      </c>
      <c r="B88" s="1" t="s">
        <v>44</v>
      </c>
      <c r="C88" s="4">
        <v>4</v>
      </c>
      <c r="D88" s="5">
        <v>1688.92</v>
      </c>
      <c r="E88" s="5">
        <v>62.11</v>
      </c>
      <c r="F88" s="5">
        <v>1626.81</v>
      </c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21.95" customHeight="1">
      <c r="A89" s="3">
        <v>40634</v>
      </c>
      <c r="B89" s="1" t="s">
        <v>46</v>
      </c>
      <c r="C89" s="4">
        <v>14</v>
      </c>
      <c r="D89" s="5">
        <v>5529.61</v>
      </c>
      <c r="E89" s="5">
        <v>1334.4</v>
      </c>
      <c r="F89" s="5">
        <v>4195.21</v>
      </c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21.95" customHeight="1">
      <c r="A90" s="3">
        <v>40634</v>
      </c>
      <c r="B90" s="1" t="s">
        <v>47</v>
      </c>
      <c r="C90" s="4">
        <v>23</v>
      </c>
      <c r="D90" s="5">
        <v>12315.54</v>
      </c>
      <c r="E90" s="5">
        <v>352.17</v>
      </c>
      <c r="F90" s="5">
        <v>11963.37</v>
      </c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21.95" customHeight="1">
      <c r="A91" s="3">
        <v>40634</v>
      </c>
      <c r="B91" s="1" t="s">
        <v>48</v>
      </c>
      <c r="C91" s="4">
        <v>1</v>
      </c>
      <c r="D91" s="5">
        <v>609.74</v>
      </c>
      <c r="E91" s="5">
        <v>0</v>
      </c>
      <c r="F91" s="5">
        <v>609.74</v>
      </c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21.95" customHeight="1">
      <c r="A92" s="3">
        <v>40634</v>
      </c>
      <c r="B92" s="1" t="s">
        <v>50</v>
      </c>
      <c r="C92" s="4">
        <v>1</v>
      </c>
      <c r="D92" s="5">
        <v>1539.64</v>
      </c>
      <c r="E92" s="5">
        <v>0</v>
      </c>
      <c r="F92" s="5">
        <v>1539.64</v>
      </c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21.95" customHeight="1">
      <c r="A93" s="3">
        <v>40634</v>
      </c>
      <c r="B93" s="1" t="s">
        <v>52</v>
      </c>
      <c r="C93" s="4">
        <v>1</v>
      </c>
      <c r="D93" s="5">
        <v>636.25</v>
      </c>
      <c r="E93" s="5">
        <v>0</v>
      </c>
      <c r="F93" s="5">
        <v>636.25</v>
      </c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21.95" customHeight="1">
      <c r="A94" s="3">
        <v>40634</v>
      </c>
      <c r="B94" s="1" t="s">
        <v>53</v>
      </c>
      <c r="C94" s="4">
        <v>1</v>
      </c>
      <c r="D94" s="5">
        <v>110</v>
      </c>
      <c r="E94" s="5">
        <v>0</v>
      </c>
      <c r="F94" s="5">
        <v>110</v>
      </c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21.95" customHeight="1">
      <c r="A95" s="3">
        <v>40634</v>
      </c>
      <c r="B95" s="1" t="s">
        <v>55</v>
      </c>
      <c r="C95" s="4">
        <v>2</v>
      </c>
      <c r="D95" s="5">
        <v>737.83</v>
      </c>
      <c r="E95" s="5">
        <v>0</v>
      </c>
      <c r="F95" s="5">
        <v>737.83</v>
      </c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21.95" customHeight="1">
      <c r="A96" s="3">
        <v>40634</v>
      </c>
      <c r="B96" s="1" t="s">
        <v>56</v>
      </c>
      <c r="C96" s="4">
        <v>2</v>
      </c>
      <c r="D96" s="5">
        <v>6548.5</v>
      </c>
      <c r="E96" s="5">
        <v>1676.67</v>
      </c>
      <c r="F96" s="5">
        <v>4871.83</v>
      </c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21.95" customHeight="1">
      <c r="A97" s="3">
        <v>40634</v>
      </c>
      <c r="B97" s="1" t="s">
        <v>58</v>
      </c>
      <c r="C97" s="4">
        <v>3</v>
      </c>
      <c r="D97" s="5">
        <v>2976.56</v>
      </c>
      <c r="E97" s="5">
        <v>0</v>
      </c>
      <c r="F97" s="5">
        <v>2976.56</v>
      </c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21.95" customHeight="1">
      <c r="A98" s="3">
        <v>40634</v>
      </c>
      <c r="B98" s="1" t="s">
        <v>59</v>
      </c>
      <c r="C98" s="4">
        <v>1</v>
      </c>
      <c r="D98" s="5">
        <v>705.84</v>
      </c>
      <c r="E98" s="5">
        <v>0</v>
      </c>
      <c r="F98" s="5">
        <v>705.84</v>
      </c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21.95" customHeight="1">
      <c r="A99" s="3">
        <v>40634</v>
      </c>
      <c r="B99" s="1" t="s">
        <v>60</v>
      </c>
      <c r="C99" s="4">
        <v>2</v>
      </c>
      <c r="D99" s="5">
        <v>1687.75</v>
      </c>
      <c r="E99" s="5">
        <v>0</v>
      </c>
      <c r="F99" s="5">
        <v>1687.75</v>
      </c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21.95" customHeight="1">
      <c r="A100" s="3">
        <v>40634</v>
      </c>
      <c r="B100" s="1" t="s">
        <v>61</v>
      </c>
      <c r="C100" s="4">
        <v>3</v>
      </c>
      <c r="D100" s="5">
        <v>8209.58</v>
      </c>
      <c r="E100" s="5">
        <v>6090.84</v>
      </c>
      <c r="F100" s="5">
        <v>2118.7399999999998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21.95" customHeight="1">
      <c r="A101" s="3">
        <v>40634</v>
      </c>
      <c r="B101" s="1" t="s">
        <v>62</v>
      </c>
      <c r="C101" s="4">
        <v>3</v>
      </c>
      <c r="D101" s="5">
        <v>1785.65</v>
      </c>
      <c r="E101" s="5">
        <v>0</v>
      </c>
      <c r="F101" s="5">
        <v>1785.65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21.95" customHeight="1">
      <c r="A102" s="3">
        <v>40634</v>
      </c>
      <c r="B102" s="1" t="s">
        <v>63</v>
      </c>
      <c r="C102" s="4">
        <v>2</v>
      </c>
      <c r="D102" s="5">
        <v>809.1</v>
      </c>
      <c r="E102" s="5">
        <v>0</v>
      </c>
      <c r="F102" s="5">
        <v>809.1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21.95" customHeight="1">
      <c r="A103" s="3">
        <v>40634</v>
      </c>
      <c r="B103" s="1" t="s">
        <v>64</v>
      </c>
      <c r="C103" s="4">
        <v>4</v>
      </c>
      <c r="D103" s="5">
        <v>2076.94</v>
      </c>
      <c r="E103" s="5">
        <v>254.75</v>
      </c>
      <c r="F103" s="5">
        <v>1822.19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21.95" customHeight="1">
      <c r="A104" s="3">
        <v>40634</v>
      </c>
      <c r="B104" s="1" t="s">
        <v>70</v>
      </c>
      <c r="C104" s="4">
        <v>1</v>
      </c>
      <c r="D104" s="5">
        <v>383.95</v>
      </c>
      <c r="E104" s="5">
        <v>0</v>
      </c>
      <c r="F104" s="5">
        <v>383.95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21.95" customHeight="1">
      <c r="A105" s="3">
        <v>40634</v>
      </c>
      <c r="B105" s="1" t="s">
        <v>65</v>
      </c>
      <c r="C105" s="4">
        <v>1153</v>
      </c>
      <c r="D105" s="5">
        <v>476517.76</v>
      </c>
      <c r="E105" s="5">
        <v>34263.72</v>
      </c>
      <c r="F105" s="5">
        <v>442254.04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21.95" customHeight="1">
      <c r="A106" s="3">
        <v>40634</v>
      </c>
      <c r="B106" s="1" t="s">
        <v>72</v>
      </c>
      <c r="C106" s="4">
        <v>1</v>
      </c>
      <c r="D106" s="5">
        <v>299.10000000000002</v>
      </c>
      <c r="E106" s="5">
        <v>0</v>
      </c>
      <c r="F106" s="5">
        <v>299.10000000000002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21.95" customHeight="1">
      <c r="A107" s="3">
        <v>40664</v>
      </c>
      <c r="B107" s="1" t="s">
        <v>36</v>
      </c>
      <c r="C107" s="4">
        <v>4</v>
      </c>
      <c r="D107" s="5">
        <v>13638.41</v>
      </c>
      <c r="E107" s="5">
        <v>9.9</v>
      </c>
      <c r="F107" s="5">
        <v>13628.51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21.95" customHeight="1">
      <c r="A108" s="3">
        <v>40664</v>
      </c>
      <c r="B108" s="1" t="s">
        <v>39</v>
      </c>
      <c r="C108" s="4">
        <v>2</v>
      </c>
      <c r="D108" s="5">
        <v>1249.43</v>
      </c>
      <c r="E108" s="5">
        <v>0</v>
      </c>
      <c r="F108" s="5">
        <v>1249.43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21.95" customHeight="1">
      <c r="A109" s="3">
        <v>40664</v>
      </c>
      <c r="B109" s="1" t="s">
        <v>37</v>
      </c>
      <c r="C109" s="4">
        <v>2</v>
      </c>
      <c r="D109" s="5">
        <v>548.4</v>
      </c>
      <c r="E109" s="5">
        <v>0</v>
      </c>
      <c r="F109" s="5">
        <v>548.4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21.95" customHeight="1">
      <c r="A110" s="3">
        <v>40664</v>
      </c>
      <c r="B110" s="1" t="s">
        <v>38</v>
      </c>
      <c r="C110" s="4">
        <v>9</v>
      </c>
      <c r="D110" s="5">
        <v>2732.4</v>
      </c>
      <c r="E110" s="5">
        <v>5.4</v>
      </c>
      <c r="F110" s="5">
        <v>2727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21.95" customHeight="1">
      <c r="A111" s="3">
        <v>40664</v>
      </c>
      <c r="B111" s="1" t="s">
        <v>45</v>
      </c>
      <c r="C111" s="4">
        <v>1</v>
      </c>
      <c r="D111" s="5">
        <v>534.24</v>
      </c>
      <c r="E111" s="5">
        <v>0</v>
      </c>
      <c r="F111" s="5">
        <v>534.24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21.95" customHeight="1">
      <c r="A112" s="3">
        <v>40664</v>
      </c>
      <c r="B112" s="1" t="s">
        <v>40</v>
      </c>
      <c r="C112" s="4">
        <v>2</v>
      </c>
      <c r="D112" s="5">
        <v>1207.24</v>
      </c>
      <c r="E112" s="5">
        <v>303.45</v>
      </c>
      <c r="F112" s="5">
        <v>903.79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21.95" customHeight="1">
      <c r="A113" s="3">
        <v>40664</v>
      </c>
      <c r="B113" s="1" t="s">
        <v>51</v>
      </c>
      <c r="C113" s="4">
        <v>1</v>
      </c>
      <c r="D113" s="5">
        <v>515.70000000000005</v>
      </c>
      <c r="E113" s="5">
        <v>0</v>
      </c>
      <c r="F113" s="5">
        <v>515.70000000000005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21.95" customHeight="1">
      <c r="A114" s="3">
        <v>40664</v>
      </c>
      <c r="B114" s="1" t="s">
        <v>42</v>
      </c>
      <c r="C114" s="4">
        <v>22</v>
      </c>
      <c r="D114" s="5">
        <v>18008.759999999998</v>
      </c>
      <c r="E114" s="5">
        <v>87.41</v>
      </c>
      <c r="F114" s="5">
        <v>17921.349999999999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21.95" customHeight="1">
      <c r="A115" s="3">
        <v>40664</v>
      </c>
      <c r="B115" s="1" t="s">
        <v>46</v>
      </c>
      <c r="C115" s="4">
        <v>39</v>
      </c>
      <c r="D115" s="5">
        <v>17614.88</v>
      </c>
      <c r="E115" s="5">
        <v>87.8</v>
      </c>
      <c r="F115" s="5">
        <v>17527.080000000002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21.95" customHeight="1">
      <c r="A116" s="3">
        <v>40664</v>
      </c>
      <c r="B116" s="1" t="s">
        <v>47</v>
      </c>
      <c r="C116" s="4">
        <v>42</v>
      </c>
      <c r="D116" s="5">
        <v>25751.200000000001</v>
      </c>
      <c r="E116" s="5">
        <v>179.85</v>
      </c>
      <c r="F116" s="5">
        <v>25571.35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21.95" customHeight="1">
      <c r="A117" s="3">
        <v>40664</v>
      </c>
      <c r="B117" s="1" t="s">
        <v>50</v>
      </c>
      <c r="C117" s="4">
        <v>1</v>
      </c>
      <c r="D117" s="5">
        <v>1966.16</v>
      </c>
      <c r="E117" s="5">
        <v>0</v>
      </c>
      <c r="F117" s="5">
        <v>1966.16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21.95" customHeight="1">
      <c r="A118" s="3">
        <v>40664</v>
      </c>
      <c r="B118" s="1" t="s">
        <v>55</v>
      </c>
      <c r="C118" s="4">
        <v>1</v>
      </c>
      <c r="D118" s="5">
        <v>587.45000000000005</v>
      </c>
      <c r="E118" s="5">
        <v>0</v>
      </c>
      <c r="F118" s="5">
        <v>587.45000000000005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21.95" customHeight="1">
      <c r="A119" s="3">
        <v>40664</v>
      </c>
      <c r="B119" s="1" t="s">
        <v>56</v>
      </c>
      <c r="C119" s="4">
        <v>1</v>
      </c>
      <c r="D119" s="5">
        <v>1351.45</v>
      </c>
      <c r="E119" s="5">
        <v>0</v>
      </c>
      <c r="F119" s="5">
        <v>1351.45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21.95" customHeight="1">
      <c r="A120" s="3">
        <v>40664</v>
      </c>
      <c r="B120" s="1" t="s">
        <v>58</v>
      </c>
      <c r="C120" s="4">
        <v>11</v>
      </c>
      <c r="D120" s="5">
        <v>29185.88</v>
      </c>
      <c r="E120" s="5">
        <v>0</v>
      </c>
      <c r="F120" s="5">
        <v>29185.88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21.95" customHeight="1">
      <c r="A121" s="3">
        <v>40664</v>
      </c>
      <c r="B121" s="1" t="s">
        <v>59</v>
      </c>
      <c r="C121" s="4">
        <v>3</v>
      </c>
      <c r="D121" s="5">
        <v>1522.37</v>
      </c>
      <c r="E121" s="5">
        <v>0</v>
      </c>
      <c r="F121" s="5">
        <v>1522.37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21.95" customHeight="1">
      <c r="A122" s="3">
        <v>40664</v>
      </c>
      <c r="B122" s="1" t="s">
        <v>60</v>
      </c>
      <c r="C122" s="4">
        <v>5</v>
      </c>
      <c r="D122" s="5">
        <v>4202.2299999999996</v>
      </c>
      <c r="E122" s="5">
        <v>3614.4</v>
      </c>
      <c r="F122" s="5">
        <v>587.83000000000004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21.95" customHeight="1">
      <c r="A123" s="3">
        <v>40664</v>
      </c>
      <c r="B123" s="1" t="s">
        <v>62</v>
      </c>
      <c r="C123" s="4">
        <v>4</v>
      </c>
      <c r="D123" s="5">
        <v>3257.6</v>
      </c>
      <c r="E123" s="5">
        <v>0</v>
      </c>
      <c r="F123" s="5">
        <v>3257.6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21.95" customHeight="1">
      <c r="A124" s="3">
        <v>40664</v>
      </c>
      <c r="B124" s="1" t="s">
        <v>63</v>
      </c>
      <c r="C124" s="4">
        <v>3</v>
      </c>
      <c r="D124" s="5">
        <v>2681.98</v>
      </c>
      <c r="E124" s="5">
        <v>17</v>
      </c>
      <c r="F124" s="5">
        <v>2664.98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21.95" customHeight="1">
      <c r="A125" s="3">
        <v>40664</v>
      </c>
      <c r="B125" s="1" t="s">
        <v>64</v>
      </c>
      <c r="C125" s="4">
        <v>3</v>
      </c>
      <c r="D125" s="5">
        <v>3610.01</v>
      </c>
      <c r="E125" s="5">
        <v>42.8</v>
      </c>
      <c r="F125" s="5">
        <v>3567.21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21.95" customHeight="1">
      <c r="A126" s="3">
        <v>40664</v>
      </c>
      <c r="B126" s="1" t="s">
        <v>65</v>
      </c>
      <c r="C126" s="4">
        <v>1523</v>
      </c>
      <c r="D126" s="5">
        <v>639314.36</v>
      </c>
      <c r="E126" s="5">
        <v>42854.5</v>
      </c>
      <c r="F126" s="5">
        <v>596459.86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21.95" customHeight="1">
      <c r="A127" s="3">
        <v>40664</v>
      </c>
      <c r="B127" s="1" t="s">
        <v>72</v>
      </c>
      <c r="C127" s="4">
        <v>2</v>
      </c>
      <c r="D127" s="5">
        <v>1055.8699999999999</v>
      </c>
      <c r="E127" s="5">
        <v>0</v>
      </c>
      <c r="F127" s="5">
        <v>1055.8699999999999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21.95" customHeight="1">
      <c r="A128" s="3">
        <v>40695</v>
      </c>
      <c r="B128" s="1" t="s">
        <v>36</v>
      </c>
      <c r="C128" s="4">
        <v>4</v>
      </c>
      <c r="D128" s="5">
        <v>25187.77</v>
      </c>
      <c r="E128" s="5">
        <v>23</v>
      </c>
      <c r="F128" s="5">
        <v>25164.77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21.95" customHeight="1">
      <c r="A129" s="3">
        <v>40695</v>
      </c>
      <c r="B129" s="1" t="s">
        <v>39</v>
      </c>
      <c r="C129" s="4">
        <v>0</v>
      </c>
      <c r="D129" s="5">
        <v>0</v>
      </c>
      <c r="E129" s="5">
        <v>24.2</v>
      </c>
      <c r="F129" s="5">
        <v>-24.2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21.95" customHeight="1">
      <c r="A130" s="3">
        <v>40695</v>
      </c>
      <c r="B130" s="1" t="s">
        <v>38</v>
      </c>
      <c r="C130" s="4">
        <v>11</v>
      </c>
      <c r="D130" s="5">
        <v>4274.82</v>
      </c>
      <c r="E130" s="5">
        <v>1.65</v>
      </c>
      <c r="F130" s="5">
        <v>4273.17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21.95" customHeight="1">
      <c r="A131" s="3">
        <v>40695</v>
      </c>
      <c r="B131" s="1" t="s">
        <v>45</v>
      </c>
      <c r="C131" s="4">
        <v>1</v>
      </c>
      <c r="D131" s="5">
        <v>1171.46</v>
      </c>
      <c r="E131" s="5">
        <v>0</v>
      </c>
      <c r="F131" s="5">
        <v>1171.46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21.95" customHeight="1">
      <c r="A132" s="3">
        <v>40695</v>
      </c>
      <c r="B132" s="1" t="s">
        <v>40</v>
      </c>
      <c r="C132" s="4">
        <v>1</v>
      </c>
      <c r="D132" s="5">
        <v>2060.0300000000002</v>
      </c>
      <c r="E132" s="5">
        <v>0</v>
      </c>
      <c r="F132" s="5">
        <v>2060.0300000000002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21.95" customHeight="1">
      <c r="A133" s="3">
        <v>40695</v>
      </c>
      <c r="B133" s="1" t="s">
        <v>41</v>
      </c>
      <c r="C133" s="4">
        <v>1</v>
      </c>
      <c r="D133" s="5">
        <v>1109.32</v>
      </c>
      <c r="E133" s="5">
        <v>0</v>
      </c>
      <c r="F133" s="5">
        <v>1109.32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21.95" customHeight="1">
      <c r="A134" s="3">
        <v>40695</v>
      </c>
      <c r="B134" s="1" t="s">
        <v>51</v>
      </c>
      <c r="C134" s="4">
        <v>3</v>
      </c>
      <c r="D134" s="5">
        <v>3261.15</v>
      </c>
      <c r="E134" s="5">
        <v>0</v>
      </c>
      <c r="F134" s="5">
        <v>3261.15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21.95" customHeight="1">
      <c r="A135" s="3">
        <v>40695</v>
      </c>
      <c r="B135" s="1" t="s">
        <v>42</v>
      </c>
      <c r="C135" s="4">
        <v>28</v>
      </c>
      <c r="D135" s="5">
        <v>24863.61</v>
      </c>
      <c r="E135" s="5">
        <v>4803.3599999999997</v>
      </c>
      <c r="F135" s="5">
        <v>20060.25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21.95" customHeight="1">
      <c r="A136" s="3">
        <v>40695</v>
      </c>
      <c r="B136" s="1" t="s">
        <v>54</v>
      </c>
      <c r="C136" s="4">
        <v>2</v>
      </c>
      <c r="D136" s="5">
        <v>432.05</v>
      </c>
      <c r="E136" s="5">
        <v>8.5</v>
      </c>
      <c r="F136" s="5">
        <v>423.55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21.95" customHeight="1">
      <c r="A137" s="3">
        <v>40695</v>
      </c>
      <c r="B137" s="1" t="s">
        <v>44</v>
      </c>
      <c r="C137" s="4">
        <v>1</v>
      </c>
      <c r="D137" s="5">
        <v>329.56</v>
      </c>
      <c r="E137" s="5">
        <v>0</v>
      </c>
      <c r="F137" s="5">
        <v>329.56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21.95" customHeight="1">
      <c r="A138" s="3">
        <v>40695</v>
      </c>
      <c r="B138" s="1" t="s">
        <v>46</v>
      </c>
      <c r="C138" s="4">
        <v>31</v>
      </c>
      <c r="D138" s="5">
        <v>16348.41</v>
      </c>
      <c r="E138" s="5">
        <v>356.54</v>
      </c>
      <c r="F138" s="5">
        <v>15991.87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21.95" customHeight="1">
      <c r="A139" s="3">
        <v>40695</v>
      </c>
      <c r="B139" s="1" t="s">
        <v>47</v>
      </c>
      <c r="C139" s="4">
        <v>24</v>
      </c>
      <c r="D139" s="5">
        <v>13274.1</v>
      </c>
      <c r="E139" s="5">
        <v>193.08</v>
      </c>
      <c r="F139" s="5">
        <v>13081.02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21.95" customHeight="1">
      <c r="A140" s="3">
        <v>40695</v>
      </c>
      <c r="B140" s="1" t="s">
        <v>50</v>
      </c>
      <c r="C140" s="4">
        <v>1</v>
      </c>
      <c r="D140" s="5">
        <v>633.96</v>
      </c>
      <c r="E140" s="5">
        <v>0</v>
      </c>
      <c r="F140" s="5">
        <v>633.96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21.95" customHeight="1">
      <c r="A141" s="3">
        <v>40695</v>
      </c>
      <c r="B141" s="1" t="s">
        <v>52</v>
      </c>
      <c r="C141" s="4">
        <v>1</v>
      </c>
      <c r="D141" s="5">
        <v>382.52</v>
      </c>
      <c r="E141" s="5">
        <v>0</v>
      </c>
      <c r="F141" s="5">
        <v>382.52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21.95" customHeight="1">
      <c r="A142" s="3">
        <v>40695</v>
      </c>
      <c r="B142" s="1" t="s">
        <v>55</v>
      </c>
      <c r="C142" s="4">
        <v>2</v>
      </c>
      <c r="D142" s="5">
        <v>202.07</v>
      </c>
      <c r="E142" s="5">
        <v>39.799999999999997</v>
      </c>
      <c r="F142" s="5">
        <v>162.27000000000001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21.95" customHeight="1">
      <c r="A143" s="3">
        <v>40695</v>
      </c>
      <c r="B143" s="1" t="s">
        <v>56</v>
      </c>
      <c r="C143" s="4">
        <v>1</v>
      </c>
      <c r="D143" s="5">
        <v>1607.04</v>
      </c>
      <c r="E143" s="5">
        <v>0</v>
      </c>
      <c r="F143" s="5">
        <v>1607.04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21.95" customHeight="1">
      <c r="A144" s="3">
        <v>40695</v>
      </c>
      <c r="B144" s="1" t="s">
        <v>66</v>
      </c>
      <c r="C144" s="4">
        <v>2</v>
      </c>
      <c r="D144" s="5">
        <v>863.16</v>
      </c>
      <c r="E144" s="5">
        <v>12.75</v>
      </c>
      <c r="F144" s="5">
        <v>850.41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21.95" customHeight="1">
      <c r="A145" s="3">
        <v>40695</v>
      </c>
      <c r="B145" s="1" t="s">
        <v>58</v>
      </c>
      <c r="C145" s="4">
        <v>11</v>
      </c>
      <c r="D145" s="5">
        <v>26858.09</v>
      </c>
      <c r="E145" s="5">
        <v>15</v>
      </c>
      <c r="F145" s="5">
        <v>26843.09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21.95" customHeight="1">
      <c r="A146" s="3">
        <v>40695</v>
      </c>
      <c r="B146" s="1" t="s">
        <v>67</v>
      </c>
      <c r="C146" s="4">
        <v>4</v>
      </c>
      <c r="D146" s="5">
        <v>5886.86</v>
      </c>
      <c r="E146" s="5">
        <v>0</v>
      </c>
      <c r="F146" s="5">
        <v>5886.86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21.95" customHeight="1">
      <c r="A147" s="3">
        <v>40695</v>
      </c>
      <c r="B147" s="1" t="s">
        <v>59</v>
      </c>
      <c r="C147" s="4">
        <v>2</v>
      </c>
      <c r="D147" s="5">
        <v>343.65</v>
      </c>
      <c r="E147" s="5">
        <v>78.91</v>
      </c>
      <c r="F147" s="5">
        <v>264.74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21.95" customHeight="1">
      <c r="A148" s="3">
        <v>40695</v>
      </c>
      <c r="B148" s="1" t="s">
        <v>60</v>
      </c>
      <c r="C148" s="4">
        <v>3</v>
      </c>
      <c r="D148" s="5">
        <v>884.46</v>
      </c>
      <c r="E148" s="5">
        <v>4.95</v>
      </c>
      <c r="F148" s="5">
        <v>879.51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21.95" customHeight="1">
      <c r="A149" s="3">
        <v>40695</v>
      </c>
      <c r="B149" s="1" t="s">
        <v>62</v>
      </c>
      <c r="C149" s="4">
        <v>8</v>
      </c>
      <c r="D149" s="5">
        <v>3333.21</v>
      </c>
      <c r="E149" s="5">
        <v>0.77</v>
      </c>
      <c r="F149" s="5">
        <v>3332.44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21.95" customHeight="1">
      <c r="A150" s="3">
        <v>40695</v>
      </c>
      <c r="B150" s="1" t="s">
        <v>63</v>
      </c>
      <c r="C150" s="4">
        <v>3</v>
      </c>
      <c r="D150" s="5">
        <v>832</v>
      </c>
      <c r="E150" s="5">
        <v>0</v>
      </c>
      <c r="F150" s="5">
        <v>832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21.95" customHeight="1">
      <c r="A151" s="3">
        <v>40695</v>
      </c>
      <c r="B151" s="1" t="s">
        <v>64</v>
      </c>
      <c r="C151" s="4">
        <v>4</v>
      </c>
      <c r="D151" s="5">
        <v>7904.15</v>
      </c>
      <c r="E151" s="5">
        <v>21.95</v>
      </c>
      <c r="F151" s="5">
        <v>7882.2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21.95" customHeight="1">
      <c r="A152" s="3">
        <v>40695</v>
      </c>
      <c r="B152" s="1" t="s">
        <v>65</v>
      </c>
      <c r="C152" s="4">
        <v>1383</v>
      </c>
      <c r="D152" s="5">
        <v>619510.67000000004</v>
      </c>
      <c r="E152" s="5">
        <v>65032.32</v>
      </c>
      <c r="F152" s="5">
        <v>554478.35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21.95" customHeight="1">
      <c r="A153" s="3">
        <v>40695</v>
      </c>
      <c r="B153" s="1" t="s">
        <v>72</v>
      </c>
      <c r="C153" s="4">
        <v>1</v>
      </c>
      <c r="D153" s="5">
        <v>185.78</v>
      </c>
      <c r="E153" s="5">
        <v>0</v>
      </c>
      <c r="F153" s="5">
        <v>185.78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21.95" customHeight="1">
      <c r="A154" s="3">
        <v>40725</v>
      </c>
      <c r="B154" s="1" t="s">
        <v>36</v>
      </c>
      <c r="C154" s="4">
        <v>7</v>
      </c>
      <c r="D154" s="5">
        <v>4964.38</v>
      </c>
      <c r="E154" s="5">
        <v>196.81</v>
      </c>
      <c r="F154" s="5">
        <v>4767.57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21.95" customHeight="1">
      <c r="A155" s="3">
        <v>40725</v>
      </c>
      <c r="B155" s="1" t="s">
        <v>39</v>
      </c>
      <c r="C155" s="4">
        <v>2</v>
      </c>
      <c r="D155" s="5">
        <v>1191.95</v>
      </c>
      <c r="E155" s="5">
        <v>0</v>
      </c>
      <c r="F155" s="5">
        <v>1191.95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21.95" customHeight="1">
      <c r="A156" s="3">
        <v>40725</v>
      </c>
      <c r="B156" s="1" t="s">
        <v>38</v>
      </c>
      <c r="C156" s="4">
        <v>5</v>
      </c>
      <c r="D156" s="5">
        <v>2475.5700000000002</v>
      </c>
      <c r="E156" s="5">
        <v>1.95</v>
      </c>
      <c r="F156" s="5">
        <v>2473.62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21.95" customHeight="1">
      <c r="A157" s="3">
        <v>40725</v>
      </c>
      <c r="B157" s="1" t="s">
        <v>45</v>
      </c>
      <c r="C157" s="4">
        <v>2</v>
      </c>
      <c r="D157" s="5">
        <v>1768.58</v>
      </c>
      <c r="E157" s="5">
        <v>0</v>
      </c>
      <c r="F157" s="5">
        <v>1768.58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21.95" customHeight="1">
      <c r="A158" s="3">
        <v>40725</v>
      </c>
      <c r="B158" s="1" t="s">
        <v>51</v>
      </c>
      <c r="C158" s="4">
        <v>1</v>
      </c>
      <c r="D158" s="5">
        <v>376.24</v>
      </c>
      <c r="E158" s="5">
        <v>0</v>
      </c>
      <c r="F158" s="5">
        <v>376.24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21.95" customHeight="1">
      <c r="A159" s="3">
        <v>40725</v>
      </c>
      <c r="B159" s="1" t="s">
        <v>42</v>
      </c>
      <c r="C159" s="4">
        <v>27</v>
      </c>
      <c r="D159" s="5">
        <v>42789.85</v>
      </c>
      <c r="E159" s="5">
        <v>49.2</v>
      </c>
      <c r="F159" s="5">
        <v>42740.65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21.95" customHeight="1">
      <c r="A160" s="3">
        <v>40725</v>
      </c>
      <c r="B160" s="1" t="s">
        <v>54</v>
      </c>
      <c r="C160" s="4">
        <v>1</v>
      </c>
      <c r="D160" s="5">
        <v>676.8</v>
      </c>
      <c r="E160" s="5">
        <v>0</v>
      </c>
      <c r="F160" s="5">
        <v>676.8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21.95" customHeight="1">
      <c r="A161" s="3">
        <v>40725</v>
      </c>
      <c r="B161" s="1" t="s">
        <v>44</v>
      </c>
      <c r="C161" s="4">
        <v>3</v>
      </c>
      <c r="D161" s="5">
        <v>2996.73</v>
      </c>
      <c r="E161" s="5">
        <v>0</v>
      </c>
      <c r="F161" s="5">
        <v>2996.73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21.95" customHeight="1">
      <c r="A162" s="3">
        <v>40725</v>
      </c>
      <c r="B162" s="1" t="s">
        <v>46</v>
      </c>
      <c r="C162" s="4">
        <v>22</v>
      </c>
      <c r="D162" s="5">
        <v>10000.19</v>
      </c>
      <c r="E162" s="5">
        <v>111.2</v>
      </c>
      <c r="F162" s="5">
        <v>9888.99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21.95" customHeight="1">
      <c r="A163" s="3">
        <v>40725</v>
      </c>
      <c r="B163" s="1" t="s">
        <v>47</v>
      </c>
      <c r="C163" s="4">
        <v>33</v>
      </c>
      <c r="D163" s="5">
        <v>16440.98</v>
      </c>
      <c r="E163" s="5">
        <v>719.32</v>
      </c>
      <c r="F163" s="5">
        <v>15721.66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21.95" customHeight="1">
      <c r="A164" s="3">
        <v>40725</v>
      </c>
      <c r="B164" s="1" t="s">
        <v>48</v>
      </c>
      <c r="C164" s="4">
        <v>1</v>
      </c>
      <c r="D164" s="5">
        <v>421.24</v>
      </c>
      <c r="E164" s="5">
        <v>50</v>
      </c>
      <c r="F164" s="5">
        <v>371.24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21.95" customHeight="1">
      <c r="A165" s="3">
        <v>40725</v>
      </c>
      <c r="B165" s="1" t="s">
        <v>53</v>
      </c>
      <c r="C165" s="4">
        <v>1</v>
      </c>
      <c r="D165" s="5">
        <v>1430.75</v>
      </c>
      <c r="E165" s="5">
        <v>0</v>
      </c>
      <c r="F165" s="5">
        <v>1430.75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21.95" customHeight="1">
      <c r="A166" s="3">
        <v>40725</v>
      </c>
      <c r="B166" s="1" t="s">
        <v>55</v>
      </c>
      <c r="C166" s="4">
        <v>1</v>
      </c>
      <c r="D166" s="5">
        <v>147.1</v>
      </c>
      <c r="E166" s="5">
        <v>0</v>
      </c>
      <c r="F166" s="5">
        <v>147.1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21.95" customHeight="1">
      <c r="A167" s="3">
        <v>40725</v>
      </c>
      <c r="B167" s="1" t="s">
        <v>56</v>
      </c>
      <c r="C167" s="4">
        <v>2</v>
      </c>
      <c r="D167" s="5">
        <v>3854.4</v>
      </c>
      <c r="E167" s="5">
        <v>0</v>
      </c>
      <c r="F167" s="5">
        <v>3854.4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21.95" customHeight="1">
      <c r="A168" s="3">
        <v>40725</v>
      </c>
      <c r="B168" s="1" t="s">
        <v>58</v>
      </c>
      <c r="C168" s="4">
        <v>1</v>
      </c>
      <c r="D168" s="5">
        <v>26.02</v>
      </c>
      <c r="E168" s="5">
        <v>0</v>
      </c>
      <c r="F168" s="5">
        <v>26.02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21.95" customHeight="1">
      <c r="A169" s="3">
        <v>40725</v>
      </c>
      <c r="B169" s="1" t="s">
        <v>67</v>
      </c>
      <c r="C169" s="4">
        <v>1</v>
      </c>
      <c r="D169" s="5">
        <v>890.07</v>
      </c>
      <c r="E169" s="5">
        <v>0</v>
      </c>
      <c r="F169" s="5">
        <v>890.07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21.95" customHeight="1">
      <c r="A170" s="3">
        <v>40725</v>
      </c>
      <c r="B170" s="1" t="s">
        <v>59</v>
      </c>
      <c r="C170" s="4">
        <v>2</v>
      </c>
      <c r="D170" s="5">
        <v>687.3</v>
      </c>
      <c r="E170" s="5">
        <v>8.85</v>
      </c>
      <c r="F170" s="5">
        <v>678.45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21.95" customHeight="1">
      <c r="A171" s="3">
        <v>40725</v>
      </c>
      <c r="B171" s="1" t="s">
        <v>60</v>
      </c>
      <c r="C171" s="4">
        <v>3</v>
      </c>
      <c r="D171" s="5">
        <v>2287.85</v>
      </c>
      <c r="E171" s="5">
        <v>0</v>
      </c>
      <c r="F171" s="5">
        <v>2287.85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21.95" customHeight="1">
      <c r="A172" s="3">
        <v>40725</v>
      </c>
      <c r="B172" s="1" t="s">
        <v>61</v>
      </c>
      <c r="C172" s="4">
        <v>1</v>
      </c>
      <c r="D172" s="5">
        <v>3949.32</v>
      </c>
      <c r="E172" s="5">
        <v>0</v>
      </c>
      <c r="F172" s="5">
        <v>3949.32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21.95" customHeight="1">
      <c r="A173" s="3">
        <v>40725</v>
      </c>
      <c r="B173" s="1" t="s">
        <v>62</v>
      </c>
      <c r="C173" s="4">
        <v>9</v>
      </c>
      <c r="D173" s="5">
        <v>7624.92</v>
      </c>
      <c r="E173" s="5">
        <v>46.75</v>
      </c>
      <c r="F173" s="5">
        <v>7578.17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21.95" customHeight="1">
      <c r="A174" s="3">
        <v>40725</v>
      </c>
      <c r="B174" s="1" t="s">
        <v>63</v>
      </c>
      <c r="C174" s="4">
        <v>3</v>
      </c>
      <c r="D174" s="5">
        <v>6802.09</v>
      </c>
      <c r="E174" s="5">
        <v>0</v>
      </c>
      <c r="F174" s="5">
        <v>6802.09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21.95" customHeight="1">
      <c r="A175" s="3">
        <v>40725</v>
      </c>
      <c r="B175" s="1" t="s">
        <v>64</v>
      </c>
      <c r="C175" s="4">
        <v>6</v>
      </c>
      <c r="D175" s="5">
        <v>3998.61</v>
      </c>
      <c r="E175" s="5">
        <v>222</v>
      </c>
      <c r="F175" s="5">
        <v>3776.61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21.95" customHeight="1">
      <c r="A176" s="3">
        <v>40725</v>
      </c>
      <c r="B176" s="1" t="s">
        <v>65</v>
      </c>
      <c r="C176" s="4">
        <v>1337</v>
      </c>
      <c r="D176" s="5">
        <v>601994.84</v>
      </c>
      <c r="E176" s="5">
        <v>36515</v>
      </c>
      <c r="F176" s="5">
        <v>565479.84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21.95" customHeight="1">
      <c r="A177" s="3">
        <v>40725</v>
      </c>
      <c r="B177" s="1" t="s">
        <v>72</v>
      </c>
      <c r="C177" s="4">
        <v>4</v>
      </c>
      <c r="D177" s="5">
        <v>1425.41</v>
      </c>
      <c r="E177" s="5">
        <v>0</v>
      </c>
      <c r="F177" s="5">
        <v>1425.41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21.95" customHeight="1">
      <c r="A178" s="3">
        <v>40756</v>
      </c>
      <c r="B178" s="1" t="s">
        <v>36</v>
      </c>
      <c r="C178" s="4">
        <v>2</v>
      </c>
      <c r="D178" s="5">
        <v>22489.200000000001</v>
      </c>
      <c r="E178" s="5">
        <v>0</v>
      </c>
      <c r="F178" s="5">
        <v>22489.200000000001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21.95" customHeight="1">
      <c r="A179" s="3">
        <v>40756</v>
      </c>
      <c r="B179" s="1" t="s">
        <v>39</v>
      </c>
      <c r="C179" s="4">
        <v>2</v>
      </c>
      <c r="D179" s="5">
        <v>1516.08</v>
      </c>
      <c r="E179" s="5">
        <v>0</v>
      </c>
      <c r="F179" s="5">
        <v>1516.08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21.95" customHeight="1">
      <c r="A180" s="3">
        <v>40756</v>
      </c>
      <c r="B180" s="1" t="s">
        <v>38</v>
      </c>
      <c r="C180" s="4">
        <v>9</v>
      </c>
      <c r="D180" s="5">
        <v>3554.02</v>
      </c>
      <c r="E180" s="5">
        <v>17.899999999999999</v>
      </c>
      <c r="F180" s="5">
        <v>3536.12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21.95" customHeight="1">
      <c r="A181" s="3">
        <v>40756</v>
      </c>
      <c r="B181" s="1" t="s">
        <v>45</v>
      </c>
      <c r="C181" s="4">
        <v>1</v>
      </c>
      <c r="D181" s="5">
        <v>51.56</v>
      </c>
      <c r="E181" s="5">
        <v>0</v>
      </c>
      <c r="F181" s="5">
        <v>51.56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21.95" customHeight="1">
      <c r="A182" s="3">
        <v>40756</v>
      </c>
      <c r="B182" s="1" t="s">
        <v>40</v>
      </c>
      <c r="C182" s="4">
        <v>5</v>
      </c>
      <c r="D182" s="5">
        <v>4896.78</v>
      </c>
      <c r="E182" s="5">
        <v>4.25</v>
      </c>
      <c r="F182" s="5">
        <v>4892.53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21.95" customHeight="1">
      <c r="A183" s="3">
        <v>40756</v>
      </c>
      <c r="B183" s="1" t="s">
        <v>51</v>
      </c>
      <c r="C183" s="4">
        <v>1</v>
      </c>
      <c r="D183" s="5">
        <v>213.15</v>
      </c>
      <c r="E183" s="5">
        <v>134.55000000000001</v>
      </c>
      <c r="F183" s="5">
        <v>78.599999999999994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21.95" customHeight="1">
      <c r="A184" s="3">
        <v>40756</v>
      </c>
      <c r="B184" s="1" t="s">
        <v>42</v>
      </c>
      <c r="C184" s="4">
        <v>19</v>
      </c>
      <c r="D184" s="5">
        <v>18353.75</v>
      </c>
      <c r="E184" s="5">
        <v>6196.28</v>
      </c>
      <c r="F184" s="5">
        <v>12157.47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21.95" customHeight="1">
      <c r="A185" s="3">
        <v>40756</v>
      </c>
      <c r="B185" s="1" t="s">
        <v>44</v>
      </c>
      <c r="C185" s="4">
        <v>3</v>
      </c>
      <c r="D185" s="5">
        <v>1376.5</v>
      </c>
      <c r="E185" s="5">
        <v>4.95</v>
      </c>
      <c r="F185" s="5">
        <v>1371.55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21.95" customHeight="1">
      <c r="A186" s="3">
        <v>40756</v>
      </c>
      <c r="B186" s="1" t="s">
        <v>46</v>
      </c>
      <c r="C186" s="4">
        <v>28</v>
      </c>
      <c r="D186" s="5">
        <v>13810.96</v>
      </c>
      <c r="E186" s="5">
        <v>21.7</v>
      </c>
      <c r="F186" s="5">
        <v>13789.26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21.95" customHeight="1">
      <c r="A187" s="3">
        <v>40756</v>
      </c>
      <c r="B187" s="1" t="s">
        <v>47</v>
      </c>
      <c r="C187" s="4">
        <v>39</v>
      </c>
      <c r="D187" s="5">
        <v>19220.77</v>
      </c>
      <c r="E187" s="5">
        <v>197.12</v>
      </c>
      <c r="F187" s="5">
        <v>19023.650000000001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21.95" customHeight="1">
      <c r="A188" s="3">
        <v>40756</v>
      </c>
      <c r="B188" s="1" t="s">
        <v>50</v>
      </c>
      <c r="C188" s="4">
        <v>2</v>
      </c>
      <c r="D188" s="5">
        <v>2813.95</v>
      </c>
      <c r="E188" s="5">
        <v>0</v>
      </c>
      <c r="F188" s="5">
        <v>2813.95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21.95" customHeight="1">
      <c r="A189" s="3">
        <v>40756</v>
      </c>
      <c r="B189" s="1" t="s">
        <v>52</v>
      </c>
      <c r="C189" s="4">
        <v>1</v>
      </c>
      <c r="D189" s="5">
        <v>584.91</v>
      </c>
      <c r="E189" s="5">
        <v>0</v>
      </c>
      <c r="F189" s="5">
        <v>584.91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21.95" customHeight="1">
      <c r="A190" s="3">
        <v>40756</v>
      </c>
      <c r="B190" s="1" t="s">
        <v>53</v>
      </c>
      <c r="C190" s="4">
        <v>1</v>
      </c>
      <c r="D190" s="5">
        <v>4873.8100000000004</v>
      </c>
      <c r="E190" s="5">
        <v>0</v>
      </c>
      <c r="F190" s="5">
        <v>4873.8100000000004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21.95" customHeight="1">
      <c r="A191" s="3">
        <v>40756</v>
      </c>
      <c r="B191" s="1" t="s">
        <v>55</v>
      </c>
      <c r="C191" s="4">
        <v>4</v>
      </c>
      <c r="D191" s="5">
        <v>1990.95</v>
      </c>
      <c r="E191" s="5">
        <v>56.15</v>
      </c>
      <c r="F191" s="5">
        <v>1934.8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21.95" customHeight="1">
      <c r="A192" s="3">
        <v>40756</v>
      </c>
      <c r="B192" s="1" t="s">
        <v>56</v>
      </c>
      <c r="C192" s="4">
        <v>0</v>
      </c>
      <c r="D192" s="5">
        <v>0</v>
      </c>
      <c r="E192" s="5">
        <v>49.79</v>
      </c>
      <c r="F192" s="5">
        <v>-49.79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21.95" customHeight="1">
      <c r="A193" s="3">
        <v>40756</v>
      </c>
      <c r="B193" s="1" t="s">
        <v>66</v>
      </c>
      <c r="C193" s="4">
        <v>2</v>
      </c>
      <c r="D193" s="5">
        <v>1119</v>
      </c>
      <c r="E193" s="5">
        <v>15.75</v>
      </c>
      <c r="F193" s="5">
        <v>1103.25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21.95" customHeight="1">
      <c r="A194" s="3">
        <v>40756</v>
      </c>
      <c r="B194" s="1" t="s">
        <v>58</v>
      </c>
      <c r="C194" s="4">
        <v>7</v>
      </c>
      <c r="D194" s="5">
        <v>40327.81</v>
      </c>
      <c r="E194" s="5">
        <v>672</v>
      </c>
      <c r="F194" s="5">
        <v>39655.81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21.95" customHeight="1">
      <c r="A195" s="3">
        <v>40756</v>
      </c>
      <c r="B195" s="1" t="s">
        <v>67</v>
      </c>
      <c r="C195" s="4">
        <v>2</v>
      </c>
      <c r="D195" s="5">
        <v>2025.81</v>
      </c>
      <c r="E195" s="5">
        <v>41.35</v>
      </c>
      <c r="F195" s="5">
        <v>1984.46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21.95" customHeight="1">
      <c r="A196" s="3">
        <v>40756</v>
      </c>
      <c r="B196" s="1" t="s">
        <v>59</v>
      </c>
      <c r="C196" s="4">
        <v>2</v>
      </c>
      <c r="D196" s="5">
        <v>401.8</v>
      </c>
      <c r="E196" s="5">
        <v>0</v>
      </c>
      <c r="F196" s="5">
        <v>401.8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21.95" customHeight="1">
      <c r="A197" s="3">
        <v>40756</v>
      </c>
      <c r="B197" s="1" t="s">
        <v>60</v>
      </c>
      <c r="C197" s="4">
        <v>1</v>
      </c>
      <c r="D197" s="5">
        <v>1221.4000000000001</v>
      </c>
      <c r="E197" s="5">
        <v>15</v>
      </c>
      <c r="F197" s="5">
        <v>1206.4000000000001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21.95" customHeight="1">
      <c r="A198" s="3">
        <v>40756</v>
      </c>
      <c r="B198" s="1" t="s">
        <v>62</v>
      </c>
      <c r="C198" s="4">
        <v>10</v>
      </c>
      <c r="D198" s="5">
        <v>3346.91</v>
      </c>
      <c r="E198" s="5">
        <v>16.5</v>
      </c>
      <c r="F198" s="5">
        <v>3330.41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21.95" customHeight="1">
      <c r="A199" s="3">
        <v>40756</v>
      </c>
      <c r="B199" s="1" t="s">
        <v>63</v>
      </c>
      <c r="C199" s="4">
        <v>5</v>
      </c>
      <c r="D199" s="5">
        <v>1400.86</v>
      </c>
      <c r="E199" s="5">
        <v>9.9</v>
      </c>
      <c r="F199" s="5">
        <v>1390.96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21.95" customHeight="1">
      <c r="A200" s="3">
        <v>40756</v>
      </c>
      <c r="B200" s="1" t="s">
        <v>64</v>
      </c>
      <c r="C200" s="4">
        <v>3</v>
      </c>
      <c r="D200" s="5">
        <v>4969.8900000000003</v>
      </c>
      <c r="E200" s="5">
        <v>87.7</v>
      </c>
      <c r="F200" s="5">
        <v>4882.1899999999996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21.95" customHeight="1">
      <c r="A201" s="3">
        <v>40756</v>
      </c>
      <c r="B201" s="1" t="s">
        <v>65</v>
      </c>
      <c r="C201" s="4">
        <v>1210</v>
      </c>
      <c r="D201" s="5">
        <v>608047.48</v>
      </c>
      <c r="E201" s="5">
        <v>46792.86</v>
      </c>
      <c r="F201" s="5">
        <v>561254.62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21.95" customHeight="1">
      <c r="A202" s="3">
        <v>40756</v>
      </c>
      <c r="B202" s="1" t="s">
        <v>72</v>
      </c>
      <c r="C202" s="4">
        <v>2</v>
      </c>
      <c r="D202" s="5">
        <v>531.03</v>
      </c>
      <c r="E202" s="5">
        <v>0</v>
      </c>
      <c r="F202" s="5">
        <v>531.03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21.95" customHeight="1">
      <c r="A203" s="3">
        <v>40787</v>
      </c>
      <c r="B203" s="1" t="s">
        <v>36</v>
      </c>
      <c r="C203" s="4">
        <v>8</v>
      </c>
      <c r="D203" s="5">
        <v>5106.7299999999996</v>
      </c>
      <c r="E203" s="5">
        <v>75</v>
      </c>
      <c r="F203" s="5">
        <v>5031.7299999999996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21.95" customHeight="1">
      <c r="A204" s="3">
        <v>40787</v>
      </c>
      <c r="B204" s="1" t="s">
        <v>38</v>
      </c>
      <c r="C204" s="4">
        <v>7</v>
      </c>
      <c r="D204" s="5">
        <v>4208.0200000000004</v>
      </c>
      <c r="E204" s="5">
        <v>10.199999999999999</v>
      </c>
      <c r="F204" s="5">
        <v>4197.82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21.95" customHeight="1">
      <c r="A205" s="3">
        <v>40787</v>
      </c>
      <c r="B205" s="1" t="s">
        <v>40</v>
      </c>
      <c r="C205" s="4">
        <v>2</v>
      </c>
      <c r="D205" s="5">
        <v>1323.75</v>
      </c>
      <c r="E205" s="5">
        <v>2.1</v>
      </c>
      <c r="F205" s="5">
        <v>1321.65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21.95" customHeight="1">
      <c r="A206" s="3">
        <v>40787</v>
      </c>
      <c r="B206" s="1" t="s">
        <v>41</v>
      </c>
      <c r="C206" s="4">
        <v>1</v>
      </c>
      <c r="D206" s="5">
        <v>196.35</v>
      </c>
      <c r="E206" s="5">
        <v>0</v>
      </c>
      <c r="F206" s="5">
        <v>196.35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21.95" customHeight="1">
      <c r="A207" s="3">
        <v>40787</v>
      </c>
      <c r="B207" s="1" t="s">
        <v>51</v>
      </c>
      <c r="C207" s="4">
        <v>3</v>
      </c>
      <c r="D207" s="5">
        <v>4570.16</v>
      </c>
      <c r="E207" s="5">
        <v>0</v>
      </c>
      <c r="F207" s="5">
        <v>4570.16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21.95" customHeight="1">
      <c r="A208" s="3">
        <v>40787</v>
      </c>
      <c r="B208" s="1" t="s">
        <v>42</v>
      </c>
      <c r="C208" s="4">
        <v>38</v>
      </c>
      <c r="D208" s="5">
        <v>43086.55</v>
      </c>
      <c r="E208" s="5">
        <v>447.5</v>
      </c>
      <c r="F208" s="5">
        <v>42639.05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21.95" customHeight="1">
      <c r="A209" s="3">
        <v>40787</v>
      </c>
      <c r="B209" s="1" t="s">
        <v>44</v>
      </c>
      <c r="C209" s="4">
        <v>4</v>
      </c>
      <c r="D209" s="5">
        <v>1105.45</v>
      </c>
      <c r="E209" s="5">
        <v>0</v>
      </c>
      <c r="F209" s="5">
        <v>1105.45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21.95" customHeight="1">
      <c r="A210" s="3">
        <v>40787</v>
      </c>
      <c r="B210" s="1" t="s">
        <v>46</v>
      </c>
      <c r="C210" s="4">
        <v>45</v>
      </c>
      <c r="D210" s="5">
        <v>23428.04</v>
      </c>
      <c r="E210" s="5">
        <v>229.17</v>
      </c>
      <c r="F210" s="5">
        <v>23198.87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21.95" customHeight="1">
      <c r="A211" s="3">
        <v>40787</v>
      </c>
      <c r="B211" s="1" t="s">
        <v>47</v>
      </c>
      <c r="C211" s="4">
        <v>41</v>
      </c>
      <c r="D211" s="5">
        <v>18091.22</v>
      </c>
      <c r="E211" s="5">
        <v>370.91</v>
      </c>
      <c r="F211" s="5">
        <v>17720.310000000001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21.95" customHeight="1">
      <c r="A212" s="3">
        <v>40787</v>
      </c>
      <c r="B212" s="1" t="s">
        <v>50</v>
      </c>
      <c r="C212" s="4">
        <v>1</v>
      </c>
      <c r="D212" s="5">
        <v>2653.95</v>
      </c>
      <c r="E212" s="5">
        <v>2653.95</v>
      </c>
      <c r="F212" s="5">
        <v>0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21.95" customHeight="1">
      <c r="A213" s="3">
        <v>40787</v>
      </c>
      <c r="B213" s="1" t="s">
        <v>53</v>
      </c>
      <c r="C213" s="4">
        <v>1</v>
      </c>
      <c r="D213" s="5">
        <v>423.73</v>
      </c>
      <c r="E213" s="5">
        <v>0</v>
      </c>
      <c r="F213" s="5">
        <v>423.73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21.95" customHeight="1">
      <c r="A214" s="3">
        <v>40787</v>
      </c>
      <c r="B214" s="1" t="s">
        <v>55</v>
      </c>
      <c r="C214" s="4">
        <v>1</v>
      </c>
      <c r="D214" s="5">
        <v>279.8</v>
      </c>
      <c r="E214" s="5">
        <v>0</v>
      </c>
      <c r="F214" s="5">
        <v>279.8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21.95" customHeight="1">
      <c r="A215" s="3">
        <v>40787</v>
      </c>
      <c r="B215" s="1" t="s">
        <v>56</v>
      </c>
      <c r="C215" s="4">
        <v>1</v>
      </c>
      <c r="D215" s="5">
        <v>112.08</v>
      </c>
      <c r="E215" s="5">
        <v>0</v>
      </c>
      <c r="F215" s="5">
        <v>112.08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21.95" customHeight="1">
      <c r="A216" s="3">
        <v>40787</v>
      </c>
      <c r="B216" s="1" t="s">
        <v>58</v>
      </c>
      <c r="C216" s="4">
        <v>7</v>
      </c>
      <c r="D216" s="5">
        <v>26937.26</v>
      </c>
      <c r="E216" s="5">
        <v>0</v>
      </c>
      <c r="F216" s="5">
        <v>26937.26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21.95" customHeight="1">
      <c r="A217" s="3">
        <v>40787</v>
      </c>
      <c r="B217" s="1" t="s">
        <v>67</v>
      </c>
      <c r="C217" s="4">
        <v>6</v>
      </c>
      <c r="D217" s="5">
        <v>8678.94</v>
      </c>
      <c r="E217" s="5">
        <v>0</v>
      </c>
      <c r="F217" s="5">
        <v>8678.94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21.95" customHeight="1">
      <c r="A218" s="3">
        <v>40787</v>
      </c>
      <c r="B218" s="1" t="s">
        <v>59</v>
      </c>
      <c r="C218" s="4">
        <v>2</v>
      </c>
      <c r="D218" s="5">
        <v>529.25</v>
      </c>
      <c r="E218" s="5">
        <v>0</v>
      </c>
      <c r="F218" s="5">
        <v>529.25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21.95" customHeight="1">
      <c r="A219" s="3">
        <v>40787</v>
      </c>
      <c r="B219" s="1" t="s">
        <v>60</v>
      </c>
      <c r="C219" s="4">
        <v>3</v>
      </c>
      <c r="D219" s="5">
        <v>1433.22</v>
      </c>
      <c r="E219" s="5">
        <v>0</v>
      </c>
      <c r="F219" s="5">
        <v>1433.22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21.95" customHeight="1">
      <c r="A220" s="3">
        <v>40787</v>
      </c>
      <c r="B220" s="1" t="s">
        <v>62</v>
      </c>
      <c r="C220" s="4">
        <v>8</v>
      </c>
      <c r="D220" s="5">
        <v>5189.24</v>
      </c>
      <c r="E220" s="5">
        <v>25.5</v>
      </c>
      <c r="F220" s="5">
        <v>5163.74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21.95" customHeight="1">
      <c r="A221" s="3">
        <v>40787</v>
      </c>
      <c r="B221" s="1" t="s">
        <v>63</v>
      </c>
      <c r="C221" s="4">
        <v>3</v>
      </c>
      <c r="D221" s="5">
        <v>4575.21</v>
      </c>
      <c r="E221" s="5">
        <v>0</v>
      </c>
      <c r="F221" s="5">
        <v>4575.21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21.95" customHeight="1">
      <c r="A222" s="3">
        <v>40787</v>
      </c>
      <c r="B222" s="1" t="s">
        <v>64</v>
      </c>
      <c r="C222" s="4">
        <v>7</v>
      </c>
      <c r="D222" s="5">
        <v>8284.86</v>
      </c>
      <c r="E222" s="5">
        <v>29.9</v>
      </c>
      <c r="F222" s="5">
        <v>8254.9599999999991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21.95" customHeight="1">
      <c r="A223" s="3">
        <v>40787</v>
      </c>
      <c r="B223" s="1" t="s">
        <v>71</v>
      </c>
      <c r="C223" s="4">
        <v>2</v>
      </c>
      <c r="D223" s="5">
        <v>1013.04</v>
      </c>
      <c r="E223" s="5">
        <v>0</v>
      </c>
      <c r="F223" s="5">
        <v>1013.04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21.95" customHeight="1">
      <c r="A224" s="3">
        <v>40787</v>
      </c>
      <c r="B224" s="1" t="s">
        <v>65</v>
      </c>
      <c r="C224" s="4">
        <v>1645</v>
      </c>
      <c r="D224" s="5">
        <v>897076.47</v>
      </c>
      <c r="E224" s="5">
        <v>35058.32</v>
      </c>
      <c r="F224" s="5">
        <v>862018.15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21.95" customHeight="1">
      <c r="A225" s="3">
        <v>40787</v>
      </c>
      <c r="B225" s="1" t="s">
        <v>72</v>
      </c>
      <c r="C225" s="4">
        <v>1</v>
      </c>
      <c r="D225" s="5">
        <v>286.85000000000002</v>
      </c>
      <c r="E225" s="5">
        <v>0</v>
      </c>
      <c r="F225" s="5">
        <v>286.85000000000002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21.95" customHeight="1">
      <c r="A226" s="3">
        <v>40817</v>
      </c>
      <c r="B226" s="1" t="s">
        <v>36</v>
      </c>
      <c r="C226" s="4">
        <v>4</v>
      </c>
      <c r="D226" s="5">
        <v>17150.53</v>
      </c>
      <c r="E226" s="5">
        <v>0</v>
      </c>
      <c r="F226" s="5">
        <v>17150.53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21.95" customHeight="1">
      <c r="A227" s="3">
        <v>40817</v>
      </c>
      <c r="B227" s="1" t="s">
        <v>39</v>
      </c>
      <c r="C227" s="4">
        <v>1</v>
      </c>
      <c r="D227" s="5">
        <v>1043.78</v>
      </c>
      <c r="E227" s="5">
        <v>0</v>
      </c>
      <c r="F227" s="5">
        <v>1043.78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21.95" customHeight="1">
      <c r="A228" s="3">
        <v>40817</v>
      </c>
      <c r="B228" s="1" t="s">
        <v>38</v>
      </c>
      <c r="C228" s="4">
        <v>11</v>
      </c>
      <c r="D228" s="5">
        <v>5685.38</v>
      </c>
      <c r="E228" s="5">
        <v>34</v>
      </c>
      <c r="F228" s="5">
        <v>5651.38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21.95" customHeight="1">
      <c r="A229" s="3">
        <v>40817</v>
      </c>
      <c r="B229" s="1" t="s">
        <v>40</v>
      </c>
      <c r="C229" s="4">
        <v>5</v>
      </c>
      <c r="D229" s="5">
        <v>2623.32</v>
      </c>
      <c r="E229" s="5">
        <v>0</v>
      </c>
      <c r="F229" s="5">
        <v>2623.32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21.95" customHeight="1">
      <c r="A230" s="3">
        <v>40817</v>
      </c>
      <c r="B230" s="1" t="s">
        <v>41</v>
      </c>
      <c r="C230" s="4">
        <v>4</v>
      </c>
      <c r="D230" s="5">
        <v>4412.87</v>
      </c>
      <c r="E230" s="5">
        <v>196.35</v>
      </c>
      <c r="F230" s="5">
        <v>4216.5200000000004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21.95" customHeight="1">
      <c r="A231" s="3">
        <v>40817</v>
      </c>
      <c r="B231" s="1" t="s">
        <v>49</v>
      </c>
      <c r="C231" s="4">
        <v>1</v>
      </c>
      <c r="D231" s="5">
        <v>277.48</v>
      </c>
      <c r="E231" s="5">
        <v>0</v>
      </c>
      <c r="F231" s="5">
        <v>277.48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21.95" customHeight="1">
      <c r="A232" s="3">
        <v>40817</v>
      </c>
      <c r="B232" s="1" t="s">
        <v>51</v>
      </c>
      <c r="C232" s="4">
        <v>3</v>
      </c>
      <c r="D232" s="5">
        <v>1490.76</v>
      </c>
      <c r="E232" s="5">
        <v>52.65</v>
      </c>
      <c r="F232" s="5">
        <v>1438.11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21.95" customHeight="1">
      <c r="A233" s="3">
        <v>40817</v>
      </c>
      <c r="B233" s="1" t="s">
        <v>42</v>
      </c>
      <c r="C233" s="4">
        <v>31</v>
      </c>
      <c r="D233" s="5">
        <v>24317.919999999998</v>
      </c>
      <c r="E233" s="5">
        <v>1010.3</v>
      </c>
      <c r="F233" s="5">
        <v>23307.62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21.95" customHeight="1">
      <c r="A234" s="3">
        <v>40817</v>
      </c>
      <c r="B234" s="1" t="s">
        <v>44</v>
      </c>
      <c r="C234" s="4">
        <v>6</v>
      </c>
      <c r="D234" s="5">
        <v>2822.12</v>
      </c>
      <c r="E234" s="5">
        <v>18</v>
      </c>
      <c r="F234" s="5">
        <v>2804.12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21.95" customHeight="1">
      <c r="A235" s="3">
        <v>40817</v>
      </c>
      <c r="B235" s="1" t="s">
        <v>46</v>
      </c>
      <c r="C235" s="4">
        <v>35</v>
      </c>
      <c r="D235" s="5">
        <v>33485.449999999997</v>
      </c>
      <c r="E235" s="5">
        <v>8453.41</v>
      </c>
      <c r="F235" s="5">
        <v>25032.04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21.95" customHeight="1">
      <c r="A236" s="3">
        <v>40817</v>
      </c>
      <c r="B236" s="1" t="s">
        <v>47</v>
      </c>
      <c r="C236" s="4">
        <v>58</v>
      </c>
      <c r="D236" s="5">
        <v>31638.42</v>
      </c>
      <c r="E236" s="5">
        <v>1024.1500000000001</v>
      </c>
      <c r="F236" s="5">
        <v>30614.27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21.95" customHeight="1">
      <c r="A237" s="3">
        <v>40817</v>
      </c>
      <c r="B237" s="1" t="s">
        <v>50</v>
      </c>
      <c r="C237" s="4">
        <v>2</v>
      </c>
      <c r="D237" s="5">
        <v>734.52</v>
      </c>
      <c r="E237" s="5">
        <v>10.95</v>
      </c>
      <c r="F237" s="5">
        <v>723.57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21.95" customHeight="1">
      <c r="A238" s="3">
        <v>40817</v>
      </c>
      <c r="B238" s="1" t="s">
        <v>52</v>
      </c>
      <c r="C238" s="4">
        <v>1</v>
      </c>
      <c r="D238" s="5">
        <v>1294.32</v>
      </c>
      <c r="E238" s="5">
        <v>0</v>
      </c>
      <c r="F238" s="5">
        <v>1294.32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21.95" customHeight="1">
      <c r="A239" s="3">
        <v>40817</v>
      </c>
      <c r="B239" s="1" t="s">
        <v>53</v>
      </c>
      <c r="C239" s="4">
        <v>2</v>
      </c>
      <c r="D239" s="5">
        <v>138.03</v>
      </c>
      <c r="E239" s="5">
        <v>0</v>
      </c>
      <c r="F239" s="5">
        <v>138.03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21.95" customHeight="1">
      <c r="A240" s="3">
        <v>40817</v>
      </c>
      <c r="B240" s="1" t="s">
        <v>55</v>
      </c>
      <c r="C240" s="4">
        <v>7</v>
      </c>
      <c r="D240" s="5">
        <v>3489.69</v>
      </c>
      <c r="E240" s="5">
        <v>78.900000000000006</v>
      </c>
      <c r="F240" s="5">
        <v>3410.79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21.95" customHeight="1">
      <c r="A241" s="3">
        <v>40817</v>
      </c>
      <c r="B241" s="1" t="s">
        <v>56</v>
      </c>
      <c r="C241" s="4">
        <v>2</v>
      </c>
      <c r="D241" s="5">
        <v>1948.04</v>
      </c>
      <c r="E241" s="5">
        <v>0</v>
      </c>
      <c r="F241" s="5">
        <v>1948.04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21.95" customHeight="1">
      <c r="A242" s="3">
        <v>40817</v>
      </c>
      <c r="B242" s="1" t="s">
        <v>58</v>
      </c>
      <c r="C242" s="4">
        <v>15</v>
      </c>
      <c r="D242" s="5">
        <v>40708.65</v>
      </c>
      <c r="E242" s="5">
        <v>0</v>
      </c>
      <c r="F242" s="5">
        <v>40708.65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21.95" customHeight="1">
      <c r="A243" s="3">
        <v>40817</v>
      </c>
      <c r="B243" s="1" t="s">
        <v>67</v>
      </c>
      <c r="C243" s="4">
        <v>7</v>
      </c>
      <c r="D243" s="5">
        <v>3687.23</v>
      </c>
      <c r="E243" s="5">
        <v>0</v>
      </c>
      <c r="F243" s="5">
        <v>3687.23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21.95" customHeight="1">
      <c r="A244" s="3">
        <v>40817</v>
      </c>
      <c r="B244" s="1" t="s">
        <v>60</v>
      </c>
      <c r="C244" s="4">
        <v>10</v>
      </c>
      <c r="D244" s="5">
        <v>6206.67</v>
      </c>
      <c r="E244" s="5">
        <v>622.04</v>
      </c>
      <c r="F244" s="5">
        <v>5584.63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21.95" customHeight="1">
      <c r="A245" s="3">
        <v>40817</v>
      </c>
      <c r="B245" s="1" t="s">
        <v>68</v>
      </c>
      <c r="C245" s="4">
        <v>1</v>
      </c>
      <c r="D245" s="5">
        <v>1002.31</v>
      </c>
      <c r="E245" s="5">
        <v>0</v>
      </c>
      <c r="F245" s="5">
        <v>1002.31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21.95" customHeight="1">
      <c r="A246" s="3">
        <v>40817</v>
      </c>
      <c r="B246" s="1" t="s">
        <v>61</v>
      </c>
      <c r="C246" s="4">
        <v>2</v>
      </c>
      <c r="D246" s="5">
        <v>7067.32</v>
      </c>
      <c r="E246" s="5">
        <v>6068.06</v>
      </c>
      <c r="F246" s="5">
        <v>999.26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21.95" customHeight="1">
      <c r="A247" s="3">
        <v>40817</v>
      </c>
      <c r="B247" s="1" t="s">
        <v>62</v>
      </c>
      <c r="C247" s="4">
        <v>8</v>
      </c>
      <c r="D247" s="5">
        <v>8636.94</v>
      </c>
      <c r="E247" s="5">
        <v>3558.29</v>
      </c>
      <c r="F247" s="5">
        <v>5078.6499999999996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21.95" customHeight="1">
      <c r="A248" s="3">
        <v>40817</v>
      </c>
      <c r="B248" s="1" t="s">
        <v>63</v>
      </c>
      <c r="C248" s="4">
        <v>3</v>
      </c>
      <c r="D248" s="5">
        <v>5766.16</v>
      </c>
      <c r="E248" s="5">
        <v>0</v>
      </c>
      <c r="F248" s="5">
        <v>5766.16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21.95" customHeight="1">
      <c r="A249" s="3">
        <v>40817</v>
      </c>
      <c r="B249" s="1" t="s">
        <v>64</v>
      </c>
      <c r="C249" s="4">
        <v>8</v>
      </c>
      <c r="D249" s="5">
        <v>8065.18</v>
      </c>
      <c r="E249" s="5">
        <v>31.2</v>
      </c>
      <c r="F249" s="5">
        <v>8033.98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21.95" customHeight="1">
      <c r="A250" s="3">
        <v>40817</v>
      </c>
      <c r="B250" s="1" t="s">
        <v>70</v>
      </c>
      <c r="C250" s="4">
        <v>2</v>
      </c>
      <c r="D250" s="5">
        <v>2311.1999999999998</v>
      </c>
      <c r="E250" s="5">
        <v>1579.51</v>
      </c>
      <c r="F250" s="5">
        <v>731.69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21.95" customHeight="1">
      <c r="A251" s="3">
        <v>40817</v>
      </c>
      <c r="B251" s="1" t="s">
        <v>65</v>
      </c>
      <c r="C251" s="4">
        <v>1811</v>
      </c>
      <c r="D251" s="5">
        <v>938975.01</v>
      </c>
      <c r="E251" s="5">
        <v>61536.82</v>
      </c>
      <c r="F251" s="5">
        <v>877438.19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21.95" customHeight="1">
      <c r="A252" s="3">
        <v>40848</v>
      </c>
      <c r="B252" s="1" t="s">
        <v>36</v>
      </c>
      <c r="C252" s="4">
        <v>6</v>
      </c>
      <c r="D252" s="5">
        <v>7242.72</v>
      </c>
      <c r="E252" s="5">
        <v>436.73</v>
      </c>
      <c r="F252" s="5">
        <v>6805.99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21.95" customHeight="1">
      <c r="A253" s="3">
        <v>40848</v>
      </c>
      <c r="B253" s="1" t="s">
        <v>39</v>
      </c>
      <c r="C253" s="4">
        <v>2</v>
      </c>
      <c r="D253" s="5">
        <v>1329.78</v>
      </c>
      <c r="E253" s="5">
        <v>0</v>
      </c>
      <c r="F253" s="5">
        <v>1329.78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21.95" customHeight="1">
      <c r="A254" s="3">
        <v>40848</v>
      </c>
      <c r="B254" s="1" t="s">
        <v>38</v>
      </c>
      <c r="C254" s="4">
        <v>11</v>
      </c>
      <c r="D254" s="5">
        <v>6315.76</v>
      </c>
      <c r="E254" s="5">
        <v>86.35</v>
      </c>
      <c r="F254" s="5">
        <v>6229.41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21.95" customHeight="1">
      <c r="A255" s="3">
        <v>40848</v>
      </c>
      <c r="B255" s="1" t="s">
        <v>40</v>
      </c>
      <c r="C255" s="4">
        <v>3</v>
      </c>
      <c r="D255" s="5">
        <v>1514.77</v>
      </c>
      <c r="E255" s="5">
        <v>19.600000000000001</v>
      </c>
      <c r="F255" s="5">
        <v>1495.17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21.95" customHeight="1">
      <c r="A256" s="3">
        <v>40848</v>
      </c>
      <c r="B256" s="1" t="s">
        <v>41</v>
      </c>
      <c r="C256" s="4">
        <v>1</v>
      </c>
      <c r="D256" s="5">
        <v>460.89</v>
      </c>
      <c r="E256" s="5">
        <v>0</v>
      </c>
      <c r="F256" s="5">
        <v>460.89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21.95" customHeight="1">
      <c r="A257" s="3">
        <v>40848</v>
      </c>
      <c r="B257" s="1" t="s">
        <v>49</v>
      </c>
      <c r="C257" s="4">
        <v>0</v>
      </c>
      <c r="D257" s="5">
        <v>0</v>
      </c>
      <c r="E257" s="5">
        <v>61.51</v>
      </c>
      <c r="F257" s="5">
        <v>-61.51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21.95" customHeight="1">
      <c r="A258" s="3">
        <v>40848</v>
      </c>
      <c r="B258" s="1" t="s">
        <v>51</v>
      </c>
      <c r="C258" s="4">
        <v>2</v>
      </c>
      <c r="D258" s="5">
        <v>2699.57</v>
      </c>
      <c r="E258" s="5">
        <v>0</v>
      </c>
      <c r="F258" s="5">
        <v>2699.57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21.95" customHeight="1">
      <c r="A259" s="3">
        <v>40848</v>
      </c>
      <c r="B259" s="1" t="s">
        <v>42</v>
      </c>
      <c r="C259" s="4">
        <v>42</v>
      </c>
      <c r="D259" s="5">
        <v>30738.43</v>
      </c>
      <c r="E259" s="5">
        <v>325.38</v>
      </c>
      <c r="F259" s="5">
        <v>30413.05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21.95" customHeight="1">
      <c r="A260" s="3">
        <v>40848</v>
      </c>
      <c r="B260" s="1" t="s">
        <v>44</v>
      </c>
      <c r="C260" s="4">
        <v>8</v>
      </c>
      <c r="D260" s="5">
        <v>3070.24</v>
      </c>
      <c r="E260" s="5">
        <v>120</v>
      </c>
      <c r="F260" s="5">
        <v>2950.24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21.95" customHeight="1">
      <c r="A261" s="3">
        <v>40848</v>
      </c>
      <c r="B261" s="1" t="s">
        <v>46</v>
      </c>
      <c r="C261" s="4">
        <v>64</v>
      </c>
      <c r="D261" s="5">
        <v>31758.71</v>
      </c>
      <c r="E261" s="5">
        <v>1061.2</v>
      </c>
      <c r="F261" s="5">
        <v>30697.51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21.95" customHeight="1">
      <c r="A262" s="3">
        <v>40848</v>
      </c>
      <c r="B262" s="1" t="s">
        <v>47</v>
      </c>
      <c r="C262" s="4">
        <v>68</v>
      </c>
      <c r="D262" s="5">
        <v>28025.02</v>
      </c>
      <c r="E262" s="5">
        <v>1980.67</v>
      </c>
      <c r="F262" s="5">
        <v>26044.35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21.95" customHeight="1">
      <c r="A263" s="3">
        <v>40848</v>
      </c>
      <c r="B263" s="1" t="s">
        <v>50</v>
      </c>
      <c r="C263" s="4">
        <v>1</v>
      </c>
      <c r="D263" s="5">
        <v>326.10000000000002</v>
      </c>
      <c r="E263" s="5">
        <v>326.10000000000002</v>
      </c>
      <c r="F263" s="5">
        <v>0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21.95" customHeight="1">
      <c r="A264" s="3">
        <v>40848</v>
      </c>
      <c r="B264" s="1" t="s">
        <v>55</v>
      </c>
      <c r="C264" s="4">
        <v>9</v>
      </c>
      <c r="D264" s="5">
        <v>4571.08</v>
      </c>
      <c r="E264" s="5">
        <v>327.33</v>
      </c>
      <c r="F264" s="5">
        <v>4243.75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21.95" customHeight="1">
      <c r="A265" s="3">
        <v>40848</v>
      </c>
      <c r="B265" s="1" t="s">
        <v>56</v>
      </c>
      <c r="C265" s="4">
        <v>2</v>
      </c>
      <c r="D265" s="5">
        <v>8460.08</v>
      </c>
      <c r="E265" s="5">
        <v>0</v>
      </c>
      <c r="F265" s="5">
        <v>8460.08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21.95" customHeight="1">
      <c r="A266" s="3">
        <v>40848</v>
      </c>
      <c r="B266" s="1" t="s">
        <v>66</v>
      </c>
      <c r="C266" s="4">
        <v>1</v>
      </c>
      <c r="D266" s="5">
        <v>743.43</v>
      </c>
      <c r="E266" s="5">
        <v>160.81</v>
      </c>
      <c r="F266" s="5">
        <v>582.62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21.95" customHeight="1">
      <c r="A267" s="3">
        <v>40848</v>
      </c>
      <c r="B267" s="1" t="s">
        <v>58</v>
      </c>
      <c r="C267" s="4">
        <v>15</v>
      </c>
      <c r="D267" s="5">
        <v>25874.01</v>
      </c>
      <c r="E267" s="5">
        <v>18</v>
      </c>
      <c r="F267" s="5">
        <v>25856.01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21.95" customHeight="1">
      <c r="A268" s="3">
        <v>40848</v>
      </c>
      <c r="B268" s="1" t="s">
        <v>67</v>
      </c>
      <c r="C268" s="4">
        <v>5</v>
      </c>
      <c r="D268" s="5">
        <v>6527.5</v>
      </c>
      <c r="E268" s="5">
        <v>0</v>
      </c>
      <c r="F268" s="5">
        <v>6527.5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21.95" customHeight="1">
      <c r="A269" s="3">
        <v>40848</v>
      </c>
      <c r="B269" s="1" t="s">
        <v>59</v>
      </c>
      <c r="C269" s="4">
        <v>2</v>
      </c>
      <c r="D269" s="5">
        <v>1361.23</v>
      </c>
      <c r="E269" s="5">
        <v>19.36</v>
      </c>
      <c r="F269" s="5">
        <v>1341.87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21.95" customHeight="1">
      <c r="A270" s="3">
        <v>40848</v>
      </c>
      <c r="B270" s="1" t="s">
        <v>60</v>
      </c>
      <c r="C270" s="4">
        <v>10</v>
      </c>
      <c r="D270" s="5">
        <v>2644.9</v>
      </c>
      <c r="E270" s="5">
        <v>0</v>
      </c>
      <c r="F270" s="5">
        <v>2644.9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21.95" customHeight="1">
      <c r="A271" s="3">
        <v>40848</v>
      </c>
      <c r="B271" s="1" t="s">
        <v>62</v>
      </c>
      <c r="C271" s="4">
        <v>14</v>
      </c>
      <c r="D271" s="5">
        <v>8678.9599999999991</v>
      </c>
      <c r="E271" s="5">
        <v>145.09</v>
      </c>
      <c r="F271" s="5">
        <v>8533.8700000000008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21.95" customHeight="1">
      <c r="A272" s="3">
        <v>40848</v>
      </c>
      <c r="B272" s="1" t="s">
        <v>63</v>
      </c>
      <c r="C272" s="4">
        <v>5</v>
      </c>
      <c r="D272" s="5">
        <v>2722.23</v>
      </c>
      <c r="E272" s="5">
        <v>109.52</v>
      </c>
      <c r="F272" s="5">
        <v>2612.71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21.95" customHeight="1">
      <c r="A273" s="3">
        <v>40848</v>
      </c>
      <c r="B273" s="1" t="s">
        <v>64</v>
      </c>
      <c r="C273" s="4">
        <v>6</v>
      </c>
      <c r="D273" s="5">
        <v>8118.96</v>
      </c>
      <c r="E273" s="5">
        <v>2</v>
      </c>
      <c r="F273" s="5">
        <v>8116.96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21.95" customHeight="1">
      <c r="A274" s="3">
        <v>40848</v>
      </c>
      <c r="B274" s="1" t="s">
        <v>65</v>
      </c>
      <c r="C274" s="4">
        <v>2490</v>
      </c>
      <c r="D274" s="5">
        <v>1325346.21</v>
      </c>
      <c r="E274" s="5">
        <v>42540.43</v>
      </c>
      <c r="F274" s="5">
        <v>1282805.78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21.95" customHeight="1">
      <c r="A275" s="3">
        <v>40848</v>
      </c>
      <c r="B275" s="1" t="s">
        <v>72</v>
      </c>
      <c r="C275" s="4">
        <v>2</v>
      </c>
      <c r="D275" s="5">
        <v>965.75</v>
      </c>
      <c r="E275" s="5">
        <v>0</v>
      </c>
      <c r="F275" s="5">
        <v>965.75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21.9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21.9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Продажи</vt:lpstr>
      <vt:lpstr>Когорты</vt:lpstr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Radi Manhal</cp:lastModifiedBy>
  <dcterms:modified xsi:type="dcterms:W3CDTF">2026-10-27T11:23:21Z</dcterms:modified>
</cp:coreProperties>
</file>